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shantGupta\workspace\repo\trading\BankNifty\"/>
    </mc:Choice>
  </mc:AlternateContent>
  <xr:revisionPtr revIDLastSave="0" documentId="8_{B5CA1A96-73AF-43D0-9BD7-B1B5675B529E}" xr6:coauthVersionLast="47" xr6:coauthVersionMax="47" xr10:uidLastSave="{00000000-0000-0000-0000-000000000000}"/>
  <bookViews>
    <workbookView xWindow="28680" yWindow="-120" windowWidth="29040" windowHeight="15720" firstSheet="3" activeTab="10" xr2:uid="{00000000-000D-0000-FFFF-FFFF00000000}"/>
  </bookViews>
  <sheets>
    <sheet name="Sheet1" sheetId="1" r:id="rId1"/>
    <sheet name="v2" sheetId="2" r:id="rId2"/>
    <sheet name="v2_2days_low_sl" sheetId="3" r:id="rId3"/>
    <sheet name="v2_5%_SL_5_RR" sheetId="4" r:id="rId4"/>
    <sheet name="v2_5%_SL_4_RR" sheetId="7" r:id="rId5"/>
    <sheet name="v2_5%_SL_3_RR" sheetId="5" r:id="rId6"/>
    <sheet name="v2_5%_SL_2_RR" sheetId="6" r:id="rId7"/>
    <sheet name="90_days_v2_5%_RR_5" sheetId="8" r:id="rId8"/>
    <sheet name="60_days_v2_5%_RR_5" sheetId="9" r:id="rId9"/>
    <sheet name="Sheet10" sheetId="10" r:id="rId10"/>
    <sheet name="Sheet2" sheetId="11" r:id="rId1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1" l="1"/>
  <c r="M2" i="11"/>
  <c r="J2" i="11"/>
  <c r="H2" i="11"/>
  <c r="G2" i="11"/>
  <c r="M2" i="10"/>
  <c r="J2" i="10"/>
  <c r="I2" i="10"/>
  <c r="H2" i="10"/>
  <c r="G2" i="10"/>
  <c r="M2" i="9"/>
  <c r="J2" i="9"/>
  <c r="I2" i="9"/>
  <c r="H2" i="9"/>
  <c r="G2" i="9"/>
  <c r="I2" i="8"/>
  <c r="M2" i="8"/>
  <c r="J2" i="8"/>
  <c r="H2" i="8"/>
  <c r="G2" i="8"/>
  <c r="I2" i="7"/>
  <c r="M2" i="7"/>
  <c r="J2" i="7"/>
  <c r="H2" i="7"/>
  <c r="G2" i="7"/>
  <c r="M2" i="3"/>
  <c r="M2" i="4"/>
  <c r="M2" i="5"/>
  <c r="M2" i="6"/>
  <c r="I2" i="6"/>
  <c r="J2" i="6"/>
  <c r="H2" i="6"/>
  <c r="G2" i="6"/>
  <c r="I2" i="5"/>
  <c r="J2" i="5"/>
  <c r="H2" i="5"/>
  <c r="G2" i="5"/>
  <c r="I2" i="4"/>
  <c r="J2" i="4"/>
  <c r="H2" i="4"/>
  <c r="G2" i="4"/>
  <c r="I2" i="3"/>
  <c r="I2" i="2"/>
  <c r="J2" i="3"/>
  <c r="H2" i="3"/>
  <c r="G2" i="3"/>
  <c r="J2" i="2"/>
  <c r="H2" i="2"/>
  <c r="G2" i="2"/>
  <c r="J2" i="1"/>
  <c r="I2" i="1"/>
  <c r="H2" i="1"/>
  <c r="G2" i="1"/>
</calcChain>
</file>

<file path=xl/sharedStrings.xml><?xml version="1.0" encoding="utf-8"?>
<sst xmlns="http://schemas.openxmlformats.org/spreadsheetml/2006/main" count="755" uniqueCount="356">
  <si>
    <t>Stock</t>
  </si>
  <si>
    <t>Final Capital</t>
  </si>
  <si>
    <t>Reserves</t>
  </si>
  <si>
    <t>Score</t>
  </si>
  <si>
    <t>BLUESTARCO</t>
  </si>
  <si>
    <t>ESABINDIA</t>
  </si>
  <si>
    <t>HDFCBANK</t>
  </si>
  <si>
    <t>JSWSTEEL</t>
  </si>
  <si>
    <t>KIRLFER</t>
  </si>
  <si>
    <t>GRASIM</t>
  </si>
  <si>
    <t>RAYMOND</t>
  </si>
  <si>
    <t>JKLAKSHMI</t>
  </si>
  <si>
    <t>ACC</t>
  </si>
  <si>
    <t>AMBUJACEM</t>
  </si>
  <si>
    <t>CUMMINSIND</t>
  </si>
  <si>
    <t>ESCORTS</t>
  </si>
  <si>
    <t>LT</t>
  </si>
  <si>
    <t>GESHIP</t>
  </si>
  <si>
    <t>BRITANNIA</t>
  </si>
  <si>
    <t>APOLLOTYRE</t>
  </si>
  <si>
    <t>CEATLTD</t>
  </si>
  <si>
    <t>BBL</t>
  </si>
  <si>
    <t>SARDAEN</t>
  </si>
  <si>
    <t>REVATHI</t>
  </si>
  <si>
    <t>WESTLIFE</t>
  </si>
  <si>
    <t>GOCLCORP</t>
  </si>
  <si>
    <t>TTKHLTCARE</t>
  </si>
  <si>
    <t>TVSSRICHAK</t>
  </si>
  <si>
    <t>SUPREMEIND</t>
  </si>
  <si>
    <t>ADANIENT</t>
  </si>
  <si>
    <t>GANDHITUBE</t>
  </si>
  <si>
    <t>GANECOS</t>
  </si>
  <si>
    <t>VINDHYATEL</t>
  </si>
  <si>
    <t>HNDFDS</t>
  </si>
  <si>
    <t>VESUVIUS</t>
  </si>
  <si>
    <t>HONDAPOWER</t>
  </si>
  <si>
    <t>ELGIEQUIP</t>
  </si>
  <si>
    <t>TCPLPACK</t>
  </si>
  <si>
    <t>KABRAEXTRU</t>
  </si>
  <si>
    <t>KRISHANA</t>
  </si>
  <si>
    <t>MBAPL</t>
  </si>
  <si>
    <t>SANDESH</t>
  </si>
  <si>
    <t>JASH</t>
  </si>
  <si>
    <t>TIINDIA</t>
  </si>
  <si>
    <t>SANGHVIMOV</t>
  </si>
  <si>
    <t>THEMISMED</t>
  </si>
  <si>
    <t>HAL</t>
  </si>
  <si>
    <t>GOODLUCK</t>
  </si>
  <si>
    <t>GRSE</t>
  </si>
  <si>
    <t>TECHNOE</t>
  </si>
  <si>
    <t>LINC</t>
  </si>
  <si>
    <t>POLYCAB</t>
  </si>
  <si>
    <t>JINDWORLD</t>
  </si>
  <si>
    <t>CGCL</t>
  </si>
  <si>
    <t>LINCOLN</t>
  </si>
  <si>
    <t>ATULAUTO</t>
  </si>
  <si>
    <t>MAZDOCK</t>
  </si>
  <si>
    <t>AXISBANK</t>
  </si>
  <si>
    <t>APARINDS</t>
  </si>
  <si>
    <t>ACCELYA</t>
  </si>
  <si>
    <t>JINDALSTEL</t>
  </si>
  <si>
    <t>DSSL</t>
  </si>
  <si>
    <t>MPSLTD</t>
  </si>
  <si>
    <t>PONNIERODE</t>
  </si>
  <si>
    <t>UBL</t>
  </si>
  <si>
    <t>CANBK</t>
  </si>
  <si>
    <t>IIFL</t>
  </si>
  <si>
    <t>AIAENG</t>
  </si>
  <si>
    <t>KKCL</t>
  </si>
  <si>
    <t>GPIL</t>
  </si>
  <si>
    <t>KAMDHENU</t>
  </si>
  <si>
    <t>ACE</t>
  </si>
  <si>
    <t>ICRA</t>
  </si>
  <si>
    <t>REFEX</t>
  </si>
  <si>
    <t>ROSSELLIND</t>
  </si>
  <si>
    <t>RAMKY</t>
  </si>
  <si>
    <t>GRAVITA</t>
  </si>
  <si>
    <t>KIRLOSENG</t>
  </si>
  <si>
    <t>DHUNINV</t>
  </si>
  <si>
    <t>INDOTHAI</t>
  </si>
  <si>
    <t>RHIM</t>
  </si>
  <si>
    <t>CRAFTSMAN</t>
  </si>
  <si>
    <t>POWERMECH</t>
  </si>
  <si>
    <t>BESTAGRO</t>
  </si>
  <si>
    <t>VBL</t>
  </si>
  <si>
    <t>AEGISCHEM</t>
  </si>
  <si>
    <t>GODFRYPHLP</t>
  </si>
  <si>
    <t>SIEMENS</t>
  </si>
  <si>
    <t>EVERESTIND</t>
  </si>
  <si>
    <t>TIMKEN</t>
  </si>
  <si>
    <t>PSPPROJECT</t>
  </si>
  <si>
    <t>PANAMAPET</t>
  </si>
  <si>
    <t>WEALTH</t>
  </si>
  <si>
    <t>KPIGREEN</t>
  </si>
  <si>
    <t>SBIN</t>
  </si>
  <si>
    <t>BHARATFORG</t>
  </si>
  <si>
    <t>UNIVCABLES</t>
  </si>
  <si>
    <t>PIIND</t>
  </si>
  <si>
    <t>DPWIRES</t>
  </si>
  <si>
    <t>JAGSNPHARM</t>
  </si>
  <si>
    <t>CREATIVE</t>
  </si>
  <si>
    <t>SIRCA</t>
  </si>
  <si>
    <t>HINDWAREAP</t>
  </si>
  <si>
    <t>NSIL</t>
  </si>
  <si>
    <t>AHLUCONT</t>
  </si>
  <si>
    <t>CENTUM</t>
  </si>
  <si>
    <t>KRBL</t>
  </si>
  <si>
    <t>UJJIVAN</t>
  </si>
  <si>
    <t>GOODYEAR</t>
  </si>
  <si>
    <t>SUNDRMFAST</t>
  </si>
  <si>
    <t>SHRIPISTON</t>
  </si>
  <si>
    <t>SOLARINDS</t>
  </si>
  <si>
    <t>PGEL</t>
  </si>
  <si>
    <t>TRITURBINE</t>
  </si>
  <si>
    <t>FINCABLES</t>
  </si>
  <si>
    <t>BALAXI</t>
  </si>
  <si>
    <t>TVSELECT</t>
  </si>
  <si>
    <t>CIEINDIA</t>
  </si>
  <si>
    <t>JBCHEPHARM</t>
  </si>
  <si>
    <t>INSECTICID</t>
  </si>
  <si>
    <t>ABBOTINDIA</t>
  </si>
  <si>
    <t>GRPLTD</t>
  </si>
  <si>
    <t>JBMA</t>
  </si>
  <si>
    <t>TALBROAUTO</t>
  </si>
  <si>
    <t>FACT</t>
  </si>
  <si>
    <t>ARVSMART</t>
  </si>
  <si>
    <t>ATGL</t>
  </si>
  <si>
    <t>TVSMOTOR</t>
  </si>
  <si>
    <t>NDRAUTO</t>
  </si>
  <si>
    <t>HINDZINC</t>
  </si>
  <si>
    <t>GANESHHOUC</t>
  </si>
  <si>
    <t>ZOTA</t>
  </si>
  <si>
    <t>FOCUS</t>
  </si>
  <si>
    <t>HGINFRA</t>
  </si>
  <si>
    <t>MOLDTKPAC</t>
  </si>
  <si>
    <t>PNCINFRA</t>
  </si>
  <si>
    <t>GNA</t>
  </si>
  <si>
    <t>RATNAMANI</t>
  </si>
  <si>
    <t>KIRLOSIND</t>
  </si>
  <si>
    <t>SURYAROSNI</t>
  </si>
  <si>
    <t>M&amp;M</t>
  </si>
  <si>
    <t>CARBORUNIV</t>
  </si>
  <si>
    <t>SALZERELEC</t>
  </si>
  <si>
    <t>ANUP</t>
  </si>
  <si>
    <t>RAJESHEXPO</t>
  </si>
  <si>
    <t>SAFARI</t>
  </si>
  <si>
    <t>BSHSL</t>
  </si>
  <si>
    <t>SUNPHARMA</t>
  </si>
  <si>
    <t>CGPOWER</t>
  </si>
  <si>
    <t>AXISCADES</t>
  </si>
  <si>
    <t>TINPLATE</t>
  </si>
  <si>
    <t>BCLIND</t>
  </si>
  <si>
    <t>360ONE</t>
  </si>
  <si>
    <t>FOSECOIND</t>
  </si>
  <si>
    <t>APLAPOLLO</t>
  </si>
  <si>
    <t>SONATSOFTW</t>
  </si>
  <si>
    <t>ITC</t>
  </si>
  <si>
    <t>KEI</t>
  </si>
  <si>
    <t>RADICO</t>
  </si>
  <si>
    <t>INDIANB</t>
  </si>
  <si>
    <t>CIGNITITEC</t>
  </si>
  <si>
    <t>DATAPATTNS</t>
  </si>
  <si>
    <t>CERA</t>
  </si>
  <si>
    <t>DENORA</t>
  </si>
  <si>
    <t>WONDERLA</t>
  </si>
  <si>
    <t>ABB</t>
  </si>
  <si>
    <t>STEELCAS</t>
  </si>
  <si>
    <t>ARMANFIN</t>
  </si>
  <si>
    <t>DYNAMATECH</t>
  </si>
  <si>
    <t>RANEHOLDIN</t>
  </si>
  <si>
    <t>ICEMAKE</t>
  </si>
  <si>
    <t>RML</t>
  </si>
  <si>
    <t>PNBHOUSING</t>
  </si>
  <si>
    <t>TIIL</t>
  </si>
  <si>
    <t>KINGFA</t>
  </si>
  <si>
    <t>KDDL</t>
  </si>
  <si>
    <t>VOLTAMP</t>
  </si>
  <si>
    <t>KPRMILL</t>
  </si>
  <si>
    <t>LINDEINDIA</t>
  </si>
  <si>
    <t>NUCLEUS</t>
  </si>
  <si>
    <t>AGI</t>
  </si>
  <si>
    <t>SELAN</t>
  </si>
  <si>
    <t>SBCL</t>
  </si>
  <si>
    <t>CRISIL</t>
  </si>
  <si>
    <t>INGERRAND</t>
  </si>
  <si>
    <t>NH</t>
  </si>
  <si>
    <t>CONTROLPR</t>
  </si>
  <si>
    <t>IWEL</t>
  </si>
  <si>
    <t>CYIENT</t>
  </si>
  <si>
    <t>BECTORFOOD</t>
  </si>
  <si>
    <t>TEGA</t>
  </si>
  <si>
    <t>POLYMED</t>
  </si>
  <si>
    <t>OLECTRA</t>
  </si>
  <si>
    <t>BOSCHLTD</t>
  </si>
  <si>
    <t>JSL</t>
  </si>
  <si>
    <t>CHALET</t>
  </si>
  <si>
    <t>APOLLOPIPE</t>
  </si>
  <si>
    <t>ROLEXRINGS</t>
  </si>
  <si>
    <t>VRLLOG</t>
  </si>
  <si>
    <t>MAXHEALTH</t>
  </si>
  <si>
    <t>ANURAS</t>
  </si>
  <si>
    <t>ULTRACEMCO</t>
  </si>
  <si>
    <t>CHOLAFIN</t>
  </si>
  <si>
    <t>SHANTIGEAR</t>
  </si>
  <si>
    <t>TATAMOTORS</t>
  </si>
  <si>
    <t>MARATHON</t>
  </si>
  <si>
    <t>MAGADSUGAR</t>
  </si>
  <si>
    <t>JTLIND</t>
  </si>
  <si>
    <t>SYNGENE</t>
  </si>
  <si>
    <t>ELECON</t>
  </si>
  <si>
    <t>MHLXMIRU</t>
  </si>
  <si>
    <t>NEWGEN</t>
  </si>
  <si>
    <t>NAVINFLUOR</t>
  </si>
  <si>
    <t>MAHSEAMLES</t>
  </si>
  <si>
    <t>TORNTPHARM</t>
  </si>
  <si>
    <t>INDHOTEL</t>
  </si>
  <si>
    <t>BOROLTD</t>
  </si>
  <si>
    <t>ANDHRAPAP</t>
  </si>
  <si>
    <t>BHAGCHEM</t>
  </si>
  <si>
    <t>APTECHT</t>
  </si>
  <si>
    <t>TITAGARH</t>
  </si>
  <si>
    <t>BAJAJHLDNG</t>
  </si>
  <si>
    <t>SRF</t>
  </si>
  <si>
    <t>POONAWALLA</t>
  </si>
  <si>
    <t>SWELECTES</t>
  </si>
  <si>
    <t>PRESTIGE</t>
  </si>
  <si>
    <t>MAHSCOOTER</t>
  </si>
  <si>
    <t>MTARTECH</t>
  </si>
  <si>
    <t>DATAMATICS</t>
  </si>
  <si>
    <t>TITAN</t>
  </si>
  <si>
    <t>SWARAJENG</t>
  </si>
  <si>
    <t>CHOLAHLDNG</t>
  </si>
  <si>
    <t>CANFINHOME</t>
  </si>
  <si>
    <t>PITTIENG</t>
  </si>
  <si>
    <t>KOVAI</t>
  </si>
  <si>
    <t>POWERINDIA</t>
  </si>
  <si>
    <t>ICICIBANK</t>
  </si>
  <si>
    <t>AURIONPRO</t>
  </si>
  <si>
    <t>KEC</t>
  </si>
  <si>
    <t>BRIGADE</t>
  </si>
  <si>
    <t>SONACOMS</t>
  </si>
  <si>
    <t>METROBRAND</t>
  </si>
  <si>
    <t>BDL</t>
  </si>
  <si>
    <t>THERMAX</t>
  </si>
  <si>
    <t>MOLDTECH</t>
  </si>
  <si>
    <t>TRENT</t>
  </si>
  <si>
    <t>PHOENIXLTD</t>
  </si>
  <si>
    <t>EICHERMOT</t>
  </si>
  <si>
    <t>STYLAMIND</t>
  </si>
  <si>
    <t>FIEMIND</t>
  </si>
  <si>
    <t>KENNAMET</t>
  </si>
  <si>
    <t>CREDITACC</t>
  </si>
  <si>
    <t>ONWARDTEC</t>
  </si>
  <si>
    <t>CHEMBOND</t>
  </si>
  <si>
    <t>KAJARIACER</t>
  </si>
  <si>
    <t>SHOPERSTOP</t>
  </si>
  <si>
    <t>THANGAMAYL</t>
  </si>
  <si>
    <t>KIMS</t>
  </si>
  <si>
    <t>SUNDARMFIN</t>
  </si>
  <si>
    <t>NILKAMAL</t>
  </si>
  <si>
    <t>INDUSINDBK</t>
  </si>
  <si>
    <t>BHARTIARTL</t>
  </si>
  <si>
    <t>JINDALPHOT</t>
  </si>
  <si>
    <t>ECLERX</t>
  </si>
  <si>
    <t>CMSINFO</t>
  </si>
  <si>
    <t>ARROWGREEN</t>
  </si>
  <si>
    <t>IONEXCHANG</t>
  </si>
  <si>
    <t>FORCEMOT</t>
  </si>
  <si>
    <t>TEJASNET</t>
  </si>
  <si>
    <t>CHEMFAB</t>
  </si>
  <si>
    <t>QNIFTY</t>
  </si>
  <si>
    <t>WHEELS</t>
  </si>
  <si>
    <t>TATAELXSI</t>
  </si>
  <si>
    <t>TATACOMM</t>
  </si>
  <si>
    <t>NOVARTIND</t>
  </si>
  <si>
    <t>TATACONSUM</t>
  </si>
  <si>
    <t>HINDCOMPOS</t>
  </si>
  <si>
    <t>SHRIRAMFIN</t>
  </si>
  <si>
    <t>HARIOMPIPE</t>
  </si>
  <si>
    <t>ROTO</t>
  </si>
  <si>
    <t>CHOICEIN</t>
  </si>
  <si>
    <t>SHAKTIPUMP</t>
  </si>
  <si>
    <t>SOMANYCERA</t>
  </si>
  <si>
    <t>ROUTE</t>
  </si>
  <si>
    <t>MCDOWELL-N</t>
  </si>
  <si>
    <t>OFSS</t>
  </si>
  <si>
    <t>RSYSTEMS</t>
  </si>
  <si>
    <t>TORNTPOWER</t>
  </si>
  <si>
    <t>GLOBUSSPR</t>
  </si>
  <si>
    <t>SPAL</t>
  </si>
  <si>
    <t>SKFINDIA</t>
  </si>
  <si>
    <t>JINDRILL</t>
  </si>
  <si>
    <t>AJMERA</t>
  </si>
  <si>
    <t>SUBROS</t>
  </si>
  <si>
    <t>M&amp;MFIN</t>
  </si>
  <si>
    <t>OBEROIRLTY</t>
  </si>
  <si>
    <t>LODHA</t>
  </si>
  <si>
    <t>RPGLIFE</t>
  </si>
  <si>
    <t>MALLCOM</t>
  </si>
  <si>
    <t>APCOTEXIND</t>
  </si>
  <si>
    <t>GKWLIMITED</t>
  </si>
  <si>
    <t>COCHINSHIP</t>
  </si>
  <si>
    <t>JITFINFRA</t>
  </si>
  <si>
    <t>SBILIFE</t>
  </si>
  <si>
    <t>TATAMTRDVR</t>
  </si>
  <si>
    <t>MANYAVAR</t>
  </si>
  <si>
    <t>PREMEXPLN</t>
  </si>
  <si>
    <t>SANDHAR</t>
  </si>
  <si>
    <t>ASTERDM</t>
  </si>
  <si>
    <t>MMFL</t>
  </si>
  <si>
    <t>LUPIN</t>
  </si>
  <si>
    <t>PATANJALI</t>
  </si>
  <si>
    <t>COLPAL</t>
  </si>
  <si>
    <t>PRUDENT</t>
  </si>
  <si>
    <t>ERIS</t>
  </si>
  <si>
    <t>CAPLIPOINT</t>
  </si>
  <si>
    <t>AUROPHARMA</t>
  </si>
  <si>
    <t>NATCOPHARM</t>
  </si>
  <si>
    <t>SAREGAMA</t>
  </si>
  <si>
    <t>INDNIPPON</t>
  </si>
  <si>
    <t>BSOFT</t>
  </si>
  <si>
    <t>TANLA</t>
  </si>
  <si>
    <t>RANEENGINE</t>
  </si>
  <si>
    <t>SUMMITSEC</t>
  </si>
  <si>
    <t>MUTHOOTFIN</t>
  </si>
  <si>
    <t>DODLA</t>
  </si>
  <si>
    <t>ALKEM</t>
  </si>
  <si>
    <t>5PAISA</t>
  </si>
  <si>
    <t>MSTCLTD</t>
  </si>
  <si>
    <t>BALKRISIND</t>
  </si>
  <si>
    <t>CIPLA</t>
  </si>
  <si>
    <t>SUNCLAYLTD</t>
  </si>
  <si>
    <t>Num_profits</t>
  </si>
  <si>
    <t>Num Losses</t>
  </si>
  <si>
    <t>Total</t>
  </si>
  <si>
    <t>Avg/day</t>
  </si>
  <si>
    <t>ZENSARTECH</t>
  </si>
  <si>
    <t>EXPLEOSOL</t>
  </si>
  <si>
    <t>CHENNPETRO</t>
  </si>
  <si>
    <t>MARICO</t>
  </si>
  <si>
    <t>ANGELONE</t>
  </si>
  <si>
    <t>XPROINDIA</t>
  </si>
  <si>
    <t>NEOGEN</t>
  </si>
  <si>
    <t>VIDHIING</t>
  </si>
  <si>
    <t>JKIL</t>
  </si>
  <si>
    <t>SPLPETRO</t>
  </si>
  <si>
    <t>Num_buys</t>
  </si>
  <si>
    <t>Num_buy_wins</t>
  </si>
  <si>
    <t>% win</t>
  </si>
  <si>
    <t>ZYDUSLIFE</t>
  </si>
  <si>
    <t>MGL</t>
  </si>
  <si>
    <t>CCL</t>
  </si>
  <si>
    <t>GODREJCP</t>
  </si>
  <si>
    <t>DRREDDY</t>
  </si>
  <si>
    <t>MHRIL</t>
  </si>
  <si>
    <t>AUBANK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</si>
</sst>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9"/>
  <sheetViews>
    <sheetView workbookViewId="0">
      <selection activeCell="R16" sqref="R16"/>
    </sheetView>
  </sheetViews>
  <sheetFormatPr defaultRowHeight="14.4" x14ac:dyDescent="0.3"/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G1" s="2" t="s">
        <v>332</v>
      </c>
      <c r="H1" s="2" t="s">
        <v>333</v>
      </c>
      <c r="I1" s="2" t="s">
        <v>334</v>
      </c>
      <c r="J1" s="2" t="s">
        <v>335</v>
      </c>
    </row>
    <row r="2" spans="1:10" x14ac:dyDescent="0.3">
      <c r="A2" s="1">
        <v>0</v>
      </c>
      <c r="B2" t="s">
        <v>4</v>
      </c>
      <c r="C2">
        <v>92855.867158014982</v>
      </c>
      <c r="D2">
        <v>0</v>
      </c>
      <c r="E2">
        <v>-489.69860192966769</v>
      </c>
      <c r="G2">
        <f>COUNTIF(E2:E2000,"&gt;0")</f>
        <v>129</v>
      </c>
      <c r="H2">
        <f>COUNTIF(E2:E2000,"&lt;0")</f>
        <v>160</v>
      </c>
      <c r="I2">
        <f>SUM(C2:C2000)/332</f>
        <v>104414.17770393204</v>
      </c>
      <c r="J2">
        <f>AVERAGE(E2:E2000)</f>
        <v>140.01257094701259</v>
      </c>
    </row>
    <row r="3" spans="1:10" x14ac:dyDescent="0.3">
      <c r="A3" s="1">
        <v>1</v>
      </c>
      <c r="B3" t="s">
        <v>5</v>
      </c>
      <c r="C3">
        <v>111448.20663969</v>
      </c>
      <c r="D3">
        <v>0</v>
      </c>
      <c r="E3">
        <v>-745.40766324796778</v>
      </c>
    </row>
    <row r="4" spans="1:10" x14ac:dyDescent="0.3">
      <c r="A4" s="1">
        <v>2</v>
      </c>
      <c r="B4" t="s">
        <v>6</v>
      </c>
      <c r="C4">
        <v>95477.1899639365</v>
      </c>
      <c r="D4">
        <v>0</v>
      </c>
      <c r="E4">
        <v>-165.48944703441421</v>
      </c>
    </row>
    <row r="5" spans="1:10" x14ac:dyDescent="0.3">
      <c r="A5" s="1">
        <v>3</v>
      </c>
      <c r="B5" t="s">
        <v>7</v>
      </c>
      <c r="C5">
        <v>97154.578097067511</v>
      </c>
      <c r="D5">
        <v>0</v>
      </c>
      <c r="E5">
        <v>-142.4022184203846</v>
      </c>
    </row>
    <row r="6" spans="1:10" x14ac:dyDescent="0.3">
      <c r="A6" s="1">
        <v>4</v>
      </c>
      <c r="B6" t="s">
        <v>8</v>
      </c>
      <c r="C6">
        <v>92473.402528250997</v>
      </c>
      <c r="D6">
        <v>0</v>
      </c>
      <c r="E6">
        <v>0</v>
      </c>
    </row>
    <row r="7" spans="1:10" x14ac:dyDescent="0.3">
      <c r="A7" s="1">
        <v>5</v>
      </c>
      <c r="B7" t="s">
        <v>9</v>
      </c>
      <c r="C7">
        <v>94589.670200050998</v>
      </c>
      <c r="D7">
        <v>0</v>
      </c>
      <c r="E7">
        <v>-416.1951129211256</v>
      </c>
    </row>
    <row r="8" spans="1:10" x14ac:dyDescent="0.3">
      <c r="A8" s="1">
        <v>6</v>
      </c>
      <c r="B8" t="s">
        <v>10</v>
      </c>
      <c r="C8">
        <v>123509.2195973465</v>
      </c>
      <c r="D8">
        <v>0</v>
      </c>
      <c r="E8">
        <v>273.22510756832202</v>
      </c>
    </row>
    <row r="9" spans="1:10" x14ac:dyDescent="0.3">
      <c r="A9" s="1">
        <v>7</v>
      </c>
      <c r="B9" t="s">
        <v>11</v>
      </c>
      <c r="C9">
        <v>90264.781689470008</v>
      </c>
      <c r="D9">
        <v>0</v>
      </c>
      <c r="E9">
        <v>-1321.961877441893</v>
      </c>
    </row>
    <row r="10" spans="1:10" x14ac:dyDescent="0.3">
      <c r="A10" s="1">
        <v>8</v>
      </c>
      <c r="B10" t="s">
        <v>12</v>
      </c>
      <c r="C10">
        <v>98934.505986427001</v>
      </c>
      <c r="D10">
        <v>0</v>
      </c>
      <c r="E10">
        <v>-81.961077967153571</v>
      </c>
    </row>
    <row r="11" spans="1:10" x14ac:dyDescent="0.3">
      <c r="A11" s="1">
        <v>9</v>
      </c>
      <c r="B11" t="s">
        <v>13</v>
      </c>
      <c r="C11">
        <v>97813.787558865006</v>
      </c>
      <c r="D11">
        <v>0</v>
      </c>
      <c r="E11">
        <v>-273.27655514187398</v>
      </c>
    </row>
    <row r="12" spans="1:10" x14ac:dyDescent="0.3">
      <c r="A12" s="1">
        <v>10</v>
      </c>
      <c r="B12" t="s">
        <v>14</v>
      </c>
      <c r="C12">
        <v>96427.622892774481</v>
      </c>
      <c r="D12">
        <v>0</v>
      </c>
      <c r="E12">
        <v>-326.82800372933087</v>
      </c>
    </row>
    <row r="13" spans="1:10" x14ac:dyDescent="0.3">
      <c r="A13" s="1">
        <v>11</v>
      </c>
      <c r="B13" t="s">
        <v>15</v>
      </c>
      <c r="C13">
        <v>113740.5766187995</v>
      </c>
      <c r="D13">
        <v>0</v>
      </c>
      <c r="E13">
        <v>245.4252856045442</v>
      </c>
    </row>
    <row r="14" spans="1:10" x14ac:dyDescent="0.3">
      <c r="A14" s="1">
        <v>12</v>
      </c>
      <c r="B14" t="s">
        <v>16</v>
      </c>
      <c r="C14">
        <v>98540.195455378998</v>
      </c>
      <c r="D14">
        <v>0</v>
      </c>
      <c r="E14">
        <v>-91.237784038813032</v>
      </c>
    </row>
    <row r="15" spans="1:10" x14ac:dyDescent="0.3">
      <c r="A15" s="1">
        <v>13</v>
      </c>
      <c r="B15" t="s">
        <v>17</v>
      </c>
      <c r="C15">
        <v>121925.03232706249</v>
      </c>
      <c r="D15">
        <v>0</v>
      </c>
      <c r="E15">
        <v>291.51226272262988</v>
      </c>
    </row>
    <row r="16" spans="1:10" x14ac:dyDescent="0.3">
      <c r="A16" s="1">
        <v>14</v>
      </c>
      <c r="B16" t="s">
        <v>18</v>
      </c>
      <c r="C16">
        <v>103604.42898396</v>
      </c>
      <c r="D16">
        <v>0</v>
      </c>
      <c r="E16">
        <v>408.36877866525799</v>
      </c>
    </row>
    <row r="17" spans="1:5" x14ac:dyDescent="0.3">
      <c r="A17" s="1">
        <v>15</v>
      </c>
      <c r="B17" t="s">
        <v>19</v>
      </c>
      <c r="C17">
        <v>116249.74410263701</v>
      </c>
      <c r="D17">
        <v>0</v>
      </c>
      <c r="E17">
        <v>403.9395254207115</v>
      </c>
    </row>
    <row r="18" spans="1:5" x14ac:dyDescent="0.3">
      <c r="A18" s="1">
        <v>16</v>
      </c>
      <c r="B18" t="s">
        <v>20</v>
      </c>
      <c r="C18">
        <v>126746.673668239</v>
      </c>
      <c r="D18">
        <v>0</v>
      </c>
      <c r="E18">
        <v>390.24477814545281</v>
      </c>
    </row>
    <row r="19" spans="1:5" x14ac:dyDescent="0.3">
      <c r="A19" s="1">
        <v>17</v>
      </c>
      <c r="B19" t="s">
        <v>21</v>
      </c>
      <c r="C19">
        <v>91765.351405520996</v>
      </c>
      <c r="D19">
        <v>0</v>
      </c>
      <c r="E19">
        <v>-1646.929718895801</v>
      </c>
    </row>
    <row r="20" spans="1:5" x14ac:dyDescent="0.3">
      <c r="A20" s="1">
        <v>18</v>
      </c>
      <c r="B20" t="s">
        <v>22</v>
      </c>
      <c r="C20">
        <v>115056.50281506901</v>
      </c>
      <c r="D20">
        <v>0</v>
      </c>
      <c r="E20">
        <v>2079.8684904673728</v>
      </c>
    </row>
    <row r="21" spans="1:5" x14ac:dyDescent="0.3">
      <c r="A21" s="1">
        <v>19</v>
      </c>
      <c r="B21" t="s">
        <v>23</v>
      </c>
      <c r="C21">
        <v>118590.195823471</v>
      </c>
      <c r="D21">
        <v>0</v>
      </c>
      <c r="E21">
        <v>158.88098395888781</v>
      </c>
    </row>
    <row r="22" spans="1:5" x14ac:dyDescent="0.3">
      <c r="A22" s="1">
        <v>20</v>
      </c>
      <c r="B22" t="s">
        <v>24</v>
      </c>
      <c r="C22">
        <v>94973.972952319004</v>
      </c>
      <c r="D22">
        <v>0</v>
      </c>
      <c r="E22">
        <v>-2513.013523840501</v>
      </c>
    </row>
    <row r="23" spans="1:5" x14ac:dyDescent="0.3">
      <c r="A23" s="1">
        <v>21</v>
      </c>
      <c r="B23" t="s">
        <v>25</v>
      </c>
      <c r="C23">
        <v>94937.779173112009</v>
      </c>
      <c r="D23">
        <v>0</v>
      </c>
      <c r="E23">
        <v>-316.38880168049963</v>
      </c>
    </row>
    <row r="24" spans="1:5" x14ac:dyDescent="0.3">
      <c r="A24" s="1">
        <v>22</v>
      </c>
      <c r="B24" t="s">
        <v>26</v>
      </c>
      <c r="C24">
        <v>95015.860260039</v>
      </c>
      <c r="D24">
        <v>0</v>
      </c>
      <c r="E24">
        <v>-64.729087531961071</v>
      </c>
    </row>
    <row r="25" spans="1:5" x14ac:dyDescent="0.3">
      <c r="A25" s="1">
        <v>23</v>
      </c>
      <c r="B25" t="s">
        <v>27</v>
      </c>
      <c r="C25">
        <v>98186.311222658507</v>
      </c>
      <c r="D25">
        <v>0</v>
      </c>
      <c r="E25">
        <v>0</v>
      </c>
    </row>
    <row r="26" spans="1:5" x14ac:dyDescent="0.3">
      <c r="A26" s="1">
        <v>24</v>
      </c>
      <c r="B26" t="s">
        <v>28</v>
      </c>
      <c r="C26">
        <v>94975.9523819725</v>
      </c>
      <c r="D26">
        <v>0</v>
      </c>
      <c r="E26">
        <v>-3425.5117653075058</v>
      </c>
    </row>
    <row r="27" spans="1:5" x14ac:dyDescent="0.3">
      <c r="A27" s="1">
        <v>25</v>
      </c>
      <c r="B27" t="s">
        <v>29</v>
      </c>
      <c r="C27">
        <v>95060.99561779901</v>
      </c>
      <c r="D27">
        <v>0</v>
      </c>
      <c r="E27">
        <v>-308.68777388756217</v>
      </c>
    </row>
    <row r="28" spans="1:5" x14ac:dyDescent="0.3">
      <c r="A28" s="1">
        <v>26</v>
      </c>
      <c r="B28" t="s">
        <v>30</v>
      </c>
      <c r="C28">
        <v>97863.172698126</v>
      </c>
      <c r="D28">
        <v>0</v>
      </c>
      <c r="E28">
        <v>0</v>
      </c>
    </row>
    <row r="29" spans="1:5" x14ac:dyDescent="0.3">
      <c r="A29" s="1">
        <v>27</v>
      </c>
      <c r="B29" t="s">
        <v>31</v>
      </c>
      <c r="C29">
        <v>96091.583382950994</v>
      </c>
      <c r="D29">
        <v>0</v>
      </c>
      <c r="E29">
        <v>-244.27603856556269</v>
      </c>
    </row>
    <row r="30" spans="1:5" x14ac:dyDescent="0.3">
      <c r="A30" s="1">
        <v>28</v>
      </c>
      <c r="B30" t="s">
        <v>32</v>
      </c>
      <c r="C30">
        <v>93297.767280911008</v>
      </c>
      <c r="D30">
        <v>0</v>
      </c>
      <c r="E30">
        <v>-2119.8892242371671</v>
      </c>
    </row>
    <row r="31" spans="1:5" x14ac:dyDescent="0.3">
      <c r="A31" s="1">
        <v>29</v>
      </c>
      <c r="B31" t="s">
        <v>33</v>
      </c>
      <c r="C31">
        <v>94950.510104102999</v>
      </c>
      <c r="D31">
        <v>0</v>
      </c>
      <c r="E31">
        <v>-1009.897979179401</v>
      </c>
    </row>
    <row r="32" spans="1:5" x14ac:dyDescent="0.3">
      <c r="A32" s="1">
        <v>30</v>
      </c>
      <c r="B32" t="s">
        <v>34</v>
      </c>
      <c r="C32">
        <v>93022.799287098489</v>
      </c>
      <c r="D32">
        <v>0</v>
      </c>
      <c r="E32">
        <v>-2742.7135513891212</v>
      </c>
    </row>
    <row r="33" spans="1:5" x14ac:dyDescent="0.3">
      <c r="A33" s="1">
        <v>31</v>
      </c>
      <c r="B33" t="s">
        <v>35</v>
      </c>
      <c r="C33">
        <v>92833.485317234023</v>
      </c>
      <c r="D33">
        <v>0</v>
      </c>
      <c r="E33">
        <v>-178.08381223999919</v>
      </c>
    </row>
    <row r="34" spans="1:5" x14ac:dyDescent="0.3">
      <c r="A34" s="1">
        <v>32</v>
      </c>
      <c r="B34" t="s">
        <v>36</v>
      </c>
      <c r="C34">
        <v>94934.515817364998</v>
      </c>
      <c r="D34">
        <v>0</v>
      </c>
      <c r="E34">
        <v>-562.83157584833339</v>
      </c>
    </row>
    <row r="35" spans="1:5" x14ac:dyDescent="0.3">
      <c r="A35" s="1">
        <v>33</v>
      </c>
      <c r="B35" t="s">
        <v>37</v>
      </c>
      <c r="C35">
        <v>104006.179270711</v>
      </c>
      <c r="D35">
        <v>0</v>
      </c>
      <c r="E35">
        <v>-129.85714375176201</v>
      </c>
    </row>
    <row r="36" spans="1:5" x14ac:dyDescent="0.3">
      <c r="A36" s="1">
        <v>34</v>
      </c>
      <c r="B36" t="s">
        <v>38</v>
      </c>
      <c r="C36">
        <v>94952.355993525009</v>
      </c>
      <c r="D36">
        <v>0</v>
      </c>
      <c r="E36">
        <v>-2523.8220032374979</v>
      </c>
    </row>
    <row r="37" spans="1:5" x14ac:dyDescent="0.3">
      <c r="A37" s="1">
        <v>35</v>
      </c>
      <c r="B37" t="s">
        <v>39</v>
      </c>
      <c r="C37">
        <v>96855.976448166999</v>
      </c>
      <c r="D37">
        <v>0</v>
      </c>
      <c r="E37">
        <v>0</v>
      </c>
    </row>
    <row r="38" spans="1:5" x14ac:dyDescent="0.3">
      <c r="A38" s="1">
        <v>36</v>
      </c>
      <c r="B38" t="s">
        <v>40</v>
      </c>
      <c r="C38">
        <v>118370.1511752065</v>
      </c>
      <c r="D38">
        <v>0</v>
      </c>
      <c r="E38">
        <v>380.74944971674438</v>
      </c>
    </row>
    <row r="39" spans="1:5" x14ac:dyDescent="0.3">
      <c r="A39" s="1">
        <v>37</v>
      </c>
      <c r="B39" t="s">
        <v>41</v>
      </c>
      <c r="C39">
        <v>129926.5383794412</v>
      </c>
      <c r="D39">
        <v>0</v>
      </c>
      <c r="E39">
        <v>0</v>
      </c>
    </row>
    <row r="40" spans="1:5" x14ac:dyDescent="0.3">
      <c r="A40" s="1">
        <v>38</v>
      </c>
      <c r="B40" t="s">
        <v>42</v>
      </c>
      <c r="C40">
        <v>120486.15725732299</v>
      </c>
      <c r="D40">
        <v>0</v>
      </c>
      <c r="E40">
        <v>-190.85508299132351</v>
      </c>
    </row>
    <row r="41" spans="1:5" x14ac:dyDescent="0.3">
      <c r="A41" s="1">
        <v>39</v>
      </c>
      <c r="B41" t="s">
        <v>43</v>
      </c>
      <c r="C41">
        <v>97493.937833233504</v>
      </c>
      <c r="D41">
        <v>0</v>
      </c>
      <c r="E41">
        <v>-2506.0621667664941</v>
      </c>
    </row>
    <row r="42" spans="1:5" x14ac:dyDescent="0.3">
      <c r="A42" s="1">
        <v>40</v>
      </c>
      <c r="B42" t="s">
        <v>44</v>
      </c>
      <c r="C42">
        <v>118568.702043299</v>
      </c>
      <c r="D42">
        <v>0</v>
      </c>
      <c r="E42">
        <v>-2245.0440676012322</v>
      </c>
    </row>
    <row r="43" spans="1:5" x14ac:dyDescent="0.3">
      <c r="A43" s="1">
        <v>41</v>
      </c>
      <c r="B43" t="s">
        <v>45</v>
      </c>
      <c r="C43">
        <v>146363.1145123475</v>
      </c>
      <c r="D43">
        <v>0</v>
      </c>
      <c r="E43">
        <v>3340.8749175472171</v>
      </c>
    </row>
    <row r="44" spans="1:5" x14ac:dyDescent="0.3">
      <c r="A44" s="1">
        <v>42</v>
      </c>
      <c r="B44" t="s">
        <v>46</v>
      </c>
      <c r="C44">
        <v>119826.6219088785</v>
      </c>
      <c r="D44">
        <v>0</v>
      </c>
      <c r="E44">
        <v>361.06363633432949</v>
      </c>
    </row>
    <row r="45" spans="1:5" x14ac:dyDescent="0.3">
      <c r="A45" s="1">
        <v>43</v>
      </c>
      <c r="B45" t="s">
        <v>47</v>
      </c>
      <c r="C45">
        <v>95304.859814374504</v>
      </c>
      <c r="D45">
        <v>0</v>
      </c>
      <c r="E45">
        <v>-313.00934570836648</v>
      </c>
    </row>
    <row r="46" spans="1:5" x14ac:dyDescent="0.3">
      <c r="A46" s="1">
        <v>44</v>
      </c>
      <c r="B46" t="s">
        <v>48</v>
      </c>
      <c r="C46">
        <v>92381.6687647785</v>
      </c>
      <c r="D46">
        <v>0</v>
      </c>
      <c r="E46">
        <v>-481.0929029672335</v>
      </c>
    </row>
    <row r="47" spans="1:5" x14ac:dyDescent="0.3">
      <c r="A47" s="1">
        <v>45</v>
      </c>
      <c r="B47" t="s">
        <v>49</v>
      </c>
      <c r="C47">
        <v>97826.63537728801</v>
      </c>
      <c r="D47">
        <v>0</v>
      </c>
      <c r="E47">
        <v>0</v>
      </c>
    </row>
    <row r="48" spans="1:5" x14ac:dyDescent="0.3">
      <c r="A48" s="1">
        <v>46</v>
      </c>
      <c r="B48" t="s">
        <v>50</v>
      </c>
      <c r="C48">
        <v>94931.452221265994</v>
      </c>
      <c r="D48">
        <v>0</v>
      </c>
      <c r="E48">
        <v>-362.03912705242868</v>
      </c>
    </row>
    <row r="49" spans="1:5" x14ac:dyDescent="0.3">
      <c r="A49" s="1">
        <v>47</v>
      </c>
      <c r="B49" t="s">
        <v>51</v>
      </c>
      <c r="C49">
        <v>117970.502827384</v>
      </c>
      <c r="D49">
        <v>0</v>
      </c>
      <c r="E49">
        <v>54.511412243378089</v>
      </c>
    </row>
    <row r="50" spans="1:5" x14ac:dyDescent="0.3">
      <c r="A50" s="1">
        <v>48</v>
      </c>
      <c r="B50" t="s">
        <v>52</v>
      </c>
      <c r="C50">
        <v>94929.393312958011</v>
      </c>
      <c r="D50">
        <v>0</v>
      </c>
      <c r="E50">
        <v>-87.424253224861928</v>
      </c>
    </row>
    <row r="51" spans="1:5" x14ac:dyDescent="0.3">
      <c r="A51" s="1">
        <v>49</v>
      </c>
      <c r="B51" t="s">
        <v>53</v>
      </c>
      <c r="C51">
        <v>92445.60951944851</v>
      </c>
      <c r="D51">
        <v>0</v>
      </c>
      <c r="E51">
        <v>-3396.8422592784309</v>
      </c>
    </row>
    <row r="52" spans="1:5" x14ac:dyDescent="0.3">
      <c r="A52" s="1">
        <v>50</v>
      </c>
      <c r="B52" t="s">
        <v>54</v>
      </c>
      <c r="C52">
        <v>96511.689190582503</v>
      </c>
      <c r="D52">
        <v>0</v>
      </c>
      <c r="E52">
        <v>-218.01942558859349</v>
      </c>
    </row>
    <row r="53" spans="1:5" x14ac:dyDescent="0.3">
      <c r="A53" s="1">
        <v>51</v>
      </c>
      <c r="B53" t="s">
        <v>55</v>
      </c>
      <c r="C53">
        <v>94258.202901364013</v>
      </c>
      <c r="D53">
        <v>0</v>
      </c>
      <c r="E53">
        <v>-54.643327481895582</v>
      </c>
    </row>
    <row r="54" spans="1:5" x14ac:dyDescent="0.3">
      <c r="A54" s="1">
        <v>52</v>
      </c>
      <c r="B54" t="s">
        <v>56</v>
      </c>
      <c r="C54">
        <v>93571.673508698004</v>
      </c>
      <c r="D54">
        <v>0</v>
      </c>
      <c r="E54">
        <v>-260.86341282894728</v>
      </c>
    </row>
    <row r="55" spans="1:5" x14ac:dyDescent="0.3">
      <c r="A55" s="1">
        <v>53</v>
      </c>
      <c r="B55" t="s">
        <v>57</v>
      </c>
      <c r="C55">
        <v>103820.47495608999</v>
      </c>
      <c r="D55">
        <v>0</v>
      </c>
      <c r="E55">
        <v>3820.47495608995</v>
      </c>
    </row>
    <row r="56" spans="1:5" x14ac:dyDescent="0.3">
      <c r="A56" s="1">
        <v>54</v>
      </c>
      <c r="B56" t="s">
        <v>58</v>
      </c>
      <c r="C56">
        <v>118435.63812371</v>
      </c>
      <c r="D56">
        <v>0</v>
      </c>
      <c r="E56">
        <v>122.47007109092689</v>
      </c>
    </row>
    <row r="57" spans="1:5" x14ac:dyDescent="0.3">
      <c r="A57" s="1">
        <v>55</v>
      </c>
      <c r="B57" t="s">
        <v>59</v>
      </c>
      <c r="C57">
        <v>99145.340112351492</v>
      </c>
      <c r="D57">
        <v>0</v>
      </c>
      <c r="E57">
        <v>0</v>
      </c>
    </row>
    <row r="58" spans="1:5" x14ac:dyDescent="0.3">
      <c r="A58" s="1">
        <v>56</v>
      </c>
      <c r="B58" t="s">
        <v>60</v>
      </c>
      <c r="C58">
        <v>98464.384115975001</v>
      </c>
      <c r="D58">
        <v>0</v>
      </c>
      <c r="E58">
        <v>0</v>
      </c>
    </row>
    <row r="59" spans="1:5" x14ac:dyDescent="0.3">
      <c r="A59" s="1">
        <v>57</v>
      </c>
      <c r="B59" t="s">
        <v>61</v>
      </c>
      <c r="C59">
        <v>94930.955401829997</v>
      </c>
      <c r="D59">
        <v>0</v>
      </c>
      <c r="E59">
        <v>-844.84076636166708</v>
      </c>
    </row>
    <row r="60" spans="1:5" x14ac:dyDescent="0.3">
      <c r="A60" s="1">
        <v>58</v>
      </c>
      <c r="B60" t="s">
        <v>62</v>
      </c>
      <c r="C60">
        <v>99095.808645501005</v>
      </c>
      <c r="D60">
        <v>0</v>
      </c>
      <c r="E60">
        <v>0</v>
      </c>
    </row>
    <row r="61" spans="1:5" x14ac:dyDescent="0.3">
      <c r="A61" s="1">
        <v>59</v>
      </c>
      <c r="B61" t="s">
        <v>63</v>
      </c>
      <c r="C61">
        <v>120593.90215461051</v>
      </c>
      <c r="D61">
        <v>0</v>
      </c>
      <c r="E61">
        <v>406.74831691901431</v>
      </c>
    </row>
    <row r="62" spans="1:5" x14ac:dyDescent="0.3">
      <c r="A62" s="1">
        <v>60</v>
      </c>
      <c r="B62" t="s">
        <v>64</v>
      </c>
      <c r="C62">
        <v>103278.78302637</v>
      </c>
      <c r="D62">
        <v>0</v>
      </c>
      <c r="E62">
        <v>655.75660527399737</v>
      </c>
    </row>
    <row r="63" spans="1:5" x14ac:dyDescent="0.3">
      <c r="A63" s="1">
        <v>61</v>
      </c>
      <c r="B63" t="s">
        <v>65</v>
      </c>
      <c r="C63">
        <v>96554.675690371994</v>
      </c>
      <c r="D63">
        <v>0</v>
      </c>
      <c r="E63">
        <v>-453.31016710400002</v>
      </c>
    </row>
    <row r="64" spans="1:5" x14ac:dyDescent="0.3">
      <c r="A64" s="1">
        <v>62</v>
      </c>
      <c r="B64" t="s">
        <v>66</v>
      </c>
      <c r="C64">
        <v>108232.5231979275</v>
      </c>
      <c r="D64">
        <v>0</v>
      </c>
      <c r="E64">
        <v>0</v>
      </c>
    </row>
    <row r="65" spans="1:5" x14ac:dyDescent="0.3">
      <c r="A65" s="1">
        <v>63</v>
      </c>
      <c r="B65" t="s">
        <v>67</v>
      </c>
      <c r="C65">
        <v>95128.867764138995</v>
      </c>
      <c r="D65">
        <v>0</v>
      </c>
      <c r="E65">
        <v>-884.21794185462682</v>
      </c>
    </row>
    <row r="66" spans="1:5" x14ac:dyDescent="0.3">
      <c r="A66" s="1">
        <v>64</v>
      </c>
      <c r="B66" t="s">
        <v>68</v>
      </c>
      <c r="C66">
        <v>118588.128477358</v>
      </c>
      <c r="D66">
        <v>0</v>
      </c>
      <c r="E66">
        <v>85.705591049574934</v>
      </c>
    </row>
    <row r="67" spans="1:5" x14ac:dyDescent="0.3">
      <c r="A67" s="1">
        <v>65</v>
      </c>
      <c r="B67" t="s">
        <v>69</v>
      </c>
      <c r="C67">
        <v>98926.75330679999</v>
      </c>
      <c r="D67">
        <v>0</v>
      </c>
      <c r="E67">
        <v>0</v>
      </c>
    </row>
    <row r="68" spans="1:5" x14ac:dyDescent="0.3">
      <c r="A68" s="1">
        <v>66</v>
      </c>
      <c r="B68" t="s">
        <v>70</v>
      </c>
      <c r="C68">
        <v>89401.461439823004</v>
      </c>
      <c r="D68">
        <v>0</v>
      </c>
      <c r="E68">
        <v>-410.52667767013952</v>
      </c>
    </row>
    <row r="69" spans="1:5" x14ac:dyDescent="0.3">
      <c r="A69" s="1">
        <v>67</v>
      </c>
      <c r="B69" t="s">
        <v>71</v>
      </c>
      <c r="C69">
        <v>94522.053862747009</v>
      </c>
      <c r="D69">
        <v>0</v>
      </c>
      <c r="E69">
        <v>-2371.9372392227469</v>
      </c>
    </row>
    <row r="70" spans="1:5" x14ac:dyDescent="0.3">
      <c r="A70" s="1">
        <v>68</v>
      </c>
      <c r="B70" t="s">
        <v>72</v>
      </c>
      <c r="C70">
        <v>97430.721854258998</v>
      </c>
      <c r="D70">
        <v>0</v>
      </c>
      <c r="E70">
        <v>-160.57988410881279</v>
      </c>
    </row>
    <row r="71" spans="1:5" x14ac:dyDescent="0.3">
      <c r="A71" s="1">
        <v>69</v>
      </c>
      <c r="B71" t="s">
        <v>73</v>
      </c>
      <c r="C71">
        <v>118511.011548636</v>
      </c>
      <c r="D71">
        <v>0</v>
      </c>
      <c r="E71">
        <v>-1941.3451421585471</v>
      </c>
    </row>
    <row r="72" spans="1:5" x14ac:dyDescent="0.3">
      <c r="A72" s="1">
        <v>70</v>
      </c>
      <c r="B72" t="s">
        <v>74</v>
      </c>
      <c r="C72">
        <v>94936.756876209009</v>
      </c>
      <c r="D72">
        <v>0</v>
      </c>
      <c r="E72">
        <v>-5063.2431237909977</v>
      </c>
    </row>
    <row r="73" spans="1:5" x14ac:dyDescent="0.3">
      <c r="A73" s="1">
        <v>71</v>
      </c>
      <c r="B73" t="s">
        <v>75</v>
      </c>
      <c r="C73">
        <v>118558.87279886</v>
      </c>
      <c r="D73">
        <v>0</v>
      </c>
      <c r="E73">
        <v>-3825.11496478353</v>
      </c>
    </row>
    <row r="74" spans="1:5" x14ac:dyDescent="0.3">
      <c r="A74" s="1">
        <v>72</v>
      </c>
      <c r="B74" t="s">
        <v>76</v>
      </c>
      <c r="C74">
        <v>119512.83005665051</v>
      </c>
      <c r="D74">
        <v>0</v>
      </c>
      <c r="E74">
        <v>-41.846005899581478</v>
      </c>
    </row>
    <row r="75" spans="1:5" x14ac:dyDescent="0.3">
      <c r="A75" s="1">
        <v>73</v>
      </c>
      <c r="B75" t="s">
        <v>77</v>
      </c>
      <c r="C75">
        <v>97012.591905880996</v>
      </c>
      <c r="D75">
        <v>0</v>
      </c>
      <c r="E75">
        <v>0</v>
      </c>
    </row>
    <row r="76" spans="1:5" x14ac:dyDescent="0.3">
      <c r="A76" s="1">
        <v>74</v>
      </c>
      <c r="B76" t="s">
        <v>78</v>
      </c>
      <c r="C76">
        <v>94975.143817816992</v>
      </c>
      <c r="D76">
        <v>0</v>
      </c>
      <c r="E76">
        <v>-628.10702277287555</v>
      </c>
    </row>
    <row r="77" spans="1:5" x14ac:dyDescent="0.3">
      <c r="A77" s="1">
        <v>75</v>
      </c>
      <c r="B77" t="s">
        <v>79</v>
      </c>
      <c r="C77">
        <v>94554.759675263995</v>
      </c>
      <c r="D77">
        <v>0</v>
      </c>
      <c r="E77">
        <v>-605.02670274844468</v>
      </c>
    </row>
    <row r="78" spans="1:5" x14ac:dyDescent="0.3">
      <c r="A78" s="1">
        <v>76</v>
      </c>
      <c r="B78" t="s">
        <v>80</v>
      </c>
      <c r="C78">
        <v>98829.401909624998</v>
      </c>
      <c r="D78">
        <v>0</v>
      </c>
      <c r="E78">
        <v>-1170.598090375006</v>
      </c>
    </row>
    <row r="79" spans="1:5" x14ac:dyDescent="0.3">
      <c r="A79" s="1">
        <v>77</v>
      </c>
      <c r="B79" t="s">
        <v>81</v>
      </c>
      <c r="C79">
        <v>92247.27973966999</v>
      </c>
      <c r="D79">
        <v>0</v>
      </c>
      <c r="E79">
        <v>-938.53191864476207</v>
      </c>
    </row>
    <row r="80" spans="1:5" x14ac:dyDescent="0.3">
      <c r="A80" s="1">
        <v>78</v>
      </c>
      <c r="B80" t="s">
        <v>82</v>
      </c>
      <c r="C80">
        <v>97404.382435232517</v>
      </c>
      <c r="D80">
        <v>0</v>
      </c>
      <c r="E80">
        <v>0</v>
      </c>
    </row>
    <row r="81" spans="1:5" x14ac:dyDescent="0.3">
      <c r="A81" s="1">
        <v>79</v>
      </c>
      <c r="B81" t="s">
        <v>83</v>
      </c>
      <c r="C81">
        <v>97271.082944066511</v>
      </c>
      <c r="D81">
        <v>0</v>
      </c>
      <c r="E81">
        <v>-2728.9170559334948</v>
      </c>
    </row>
    <row r="82" spans="1:5" x14ac:dyDescent="0.3">
      <c r="A82" s="1">
        <v>80</v>
      </c>
      <c r="B82" t="s">
        <v>84</v>
      </c>
      <c r="C82">
        <v>92964.041968780497</v>
      </c>
      <c r="D82">
        <v>0</v>
      </c>
      <c r="E82">
        <v>-483.42505674068371</v>
      </c>
    </row>
    <row r="83" spans="1:5" x14ac:dyDescent="0.3">
      <c r="A83" s="1">
        <v>81</v>
      </c>
      <c r="B83" t="s">
        <v>85</v>
      </c>
      <c r="C83">
        <v>90070.211982435998</v>
      </c>
      <c r="D83">
        <v>0</v>
      </c>
      <c r="E83">
        <v>-622.47568419706704</v>
      </c>
    </row>
    <row r="84" spans="1:5" x14ac:dyDescent="0.3">
      <c r="A84" s="1">
        <v>82</v>
      </c>
      <c r="B84" t="s">
        <v>86</v>
      </c>
      <c r="C84">
        <v>112714.2329298226</v>
      </c>
      <c r="D84">
        <v>0</v>
      </c>
      <c r="E84">
        <v>3178.5582324556381</v>
      </c>
    </row>
    <row r="85" spans="1:5" x14ac:dyDescent="0.3">
      <c r="A85" s="1">
        <v>83</v>
      </c>
      <c r="B85" t="s">
        <v>87</v>
      </c>
      <c r="C85">
        <v>124712.71606380001</v>
      </c>
      <c r="D85">
        <v>0</v>
      </c>
      <c r="E85">
        <v>162.58365831447369</v>
      </c>
    </row>
    <row r="86" spans="1:5" x14ac:dyDescent="0.3">
      <c r="A86" s="1">
        <v>84</v>
      </c>
      <c r="B86" t="s">
        <v>88</v>
      </c>
      <c r="C86">
        <v>94957.745527536012</v>
      </c>
      <c r="D86">
        <v>0</v>
      </c>
      <c r="E86">
        <v>-1260.5636181159989</v>
      </c>
    </row>
    <row r="87" spans="1:5" x14ac:dyDescent="0.3">
      <c r="A87" s="1">
        <v>85</v>
      </c>
      <c r="B87" t="s">
        <v>89</v>
      </c>
      <c r="C87">
        <v>97996.287600284006</v>
      </c>
      <c r="D87">
        <v>0</v>
      </c>
      <c r="E87">
        <v>-2003.712399715997</v>
      </c>
    </row>
    <row r="88" spans="1:5" x14ac:dyDescent="0.3">
      <c r="A88" s="1">
        <v>86</v>
      </c>
      <c r="B88" t="s">
        <v>90</v>
      </c>
      <c r="C88">
        <v>107597.3729073205</v>
      </c>
      <c r="D88">
        <v>0</v>
      </c>
      <c r="E88">
        <v>2495.175553711043</v>
      </c>
    </row>
    <row r="89" spans="1:5" x14ac:dyDescent="0.3">
      <c r="A89" s="1">
        <v>87</v>
      </c>
      <c r="B89" t="s">
        <v>91</v>
      </c>
      <c r="C89">
        <v>96498.373802689996</v>
      </c>
      <c r="D89">
        <v>0</v>
      </c>
      <c r="E89">
        <v>-700.32523946200001</v>
      </c>
    </row>
    <row r="90" spans="1:5" x14ac:dyDescent="0.3">
      <c r="A90" s="1">
        <v>88</v>
      </c>
      <c r="B90" t="s">
        <v>92</v>
      </c>
      <c r="C90">
        <v>94976.155643999999</v>
      </c>
      <c r="D90">
        <v>0</v>
      </c>
      <c r="E90">
        <v>-94.789516150943427</v>
      </c>
    </row>
    <row r="91" spans="1:5" x14ac:dyDescent="0.3">
      <c r="A91" s="1">
        <v>89</v>
      </c>
      <c r="B91" t="s">
        <v>93</v>
      </c>
      <c r="C91">
        <v>118491.20946175999</v>
      </c>
      <c r="D91">
        <v>0</v>
      </c>
      <c r="E91">
        <v>37.964184527719681</v>
      </c>
    </row>
    <row r="92" spans="1:5" x14ac:dyDescent="0.3">
      <c r="A92" s="1">
        <v>90</v>
      </c>
      <c r="B92" t="s">
        <v>94</v>
      </c>
      <c r="C92">
        <v>98313.194497721997</v>
      </c>
      <c r="D92">
        <v>0</v>
      </c>
      <c r="E92">
        <v>-240.97221461114231</v>
      </c>
    </row>
    <row r="93" spans="1:5" x14ac:dyDescent="0.3">
      <c r="A93" s="1">
        <v>91</v>
      </c>
      <c r="B93" t="s">
        <v>95</v>
      </c>
      <c r="C93">
        <v>95409.134608160995</v>
      </c>
      <c r="D93">
        <v>0</v>
      </c>
      <c r="E93">
        <v>-327.91895655992909</v>
      </c>
    </row>
    <row r="94" spans="1:5" x14ac:dyDescent="0.3">
      <c r="A94" s="1">
        <v>92</v>
      </c>
      <c r="B94" t="s">
        <v>96</v>
      </c>
      <c r="C94">
        <v>90120.874798308505</v>
      </c>
      <c r="D94">
        <v>0</v>
      </c>
      <c r="E94">
        <v>-1205.467746748443</v>
      </c>
    </row>
    <row r="95" spans="1:5" x14ac:dyDescent="0.3">
      <c r="A95" s="1">
        <v>93</v>
      </c>
      <c r="B95" t="s">
        <v>97</v>
      </c>
      <c r="C95">
        <v>92508.528798182</v>
      </c>
      <c r="D95">
        <v>0</v>
      </c>
      <c r="E95">
        <v>-391.14666653187498</v>
      </c>
    </row>
    <row r="96" spans="1:5" x14ac:dyDescent="0.3">
      <c r="A96" s="1">
        <v>94</v>
      </c>
      <c r="B96" t="s">
        <v>98</v>
      </c>
      <c r="C96">
        <v>118583.535321673</v>
      </c>
      <c r="D96">
        <v>0</v>
      </c>
      <c r="E96">
        <v>429.92113680729051</v>
      </c>
    </row>
    <row r="97" spans="1:5" x14ac:dyDescent="0.3">
      <c r="A97" s="1">
        <v>95</v>
      </c>
      <c r="B97" t="s">
        <v>99</v>
      </c>
      <c r="C97">
        <v>90489.245367227006</v>
      </c>
      <c r="D97">
        <v>0</v>
      </c>
      <c r="E97">
        <v>-218.43780901183149</v>
      </c>
    </row>
    <row r="98" spans="1:5" x14ac:dyDescent="0.3">
      <c r="A98" s="1">
        <v>96</v>
      </c>
      <c r="B98" t="s">
        <v>100</v>
      </c>
      <c r="C98">
        <v>94700.505803312</v>
      </c>
      <c r="D98">
        <v>0</v>
      </c>
      <c r="E98">
        <v>-588.83268852088906</v>
      </c>
    </row>
    <row r="99" spans="1:5" x14ac:dyDescent="0.3">
      <c r="A99" s="1">
        <v>97</v>
      </c>
      <c r="B99" t="s">
        <v>101</v>
      </c>
      <c r="C99">
        <v>94929.583695712005</v>
      </c>
      <c r="D99">
        <v>0</v>
      </c>
      <c r="E99">
        <v>-563.37958936533369</v>
      </c>
    </row>
    <row r="100" spans="1:5" x14ac:dyDescent="0.3">
      <c r="A100" s="1">
        <v>98</v>
      </c>
      <c r="B100" t="s">
        <v>102</v>
      </c>
      <c r="C100">
        <v>92210.951964039501</v>
      </c>
      <c r="D100">
        <v>0</v>
      </c>
      <c r="E100">
        <v>0</v>
      </c>
    </row>
    <row r="101" spans="1:5" x14ac:dyDescent="0.3">
      <c r="A101" s="1">
        <v>99</v>
      </c>
      <c r="B101" t="s">
        <v>103</v>
      </c>
      <c r="C101">
        <v>94924.569257020004</v>
      </c>
      <c r="D101">
        <v>0</v>
      </c>
      <c r="E101">
        <v>-845.90512382999941</v>
      </c>
    </row>
    <row r="102" spans="1:5" x14ac:dyDescent="0.3">
      <c r="A102" s="1">
        <v>100</v>
      </c>
      <c r="B102" t="s">
        <v>104</v>
      </c>
      <c r="C102">
        <v>124800.63237681</v>
      </c>
      <c r="D102">
        <v>0</v>
      </c>
      <c r="E102">
        <v>148.5067806994611</v>
      </c>
    </row>
    <row r="103" spans="1:5" x14ac:dyDescent="0.3">
      <c r="A103" s="1">
        <v>101</v>
      </c>
      <c r="B103" t="s">
        <v>105</v>
      </c>
      <c r="C103">
        <v>98435.418647899991</v>
      </c>
      <c r="D103">
        <v>0</v>
      </c>
      <c r="E103">
        <v>803.07053670838297</v>
      </c>
    </row>
    <row r="104" spans="1:5" x14ac:dyDescent="0.3">
      <c r="A104" s="1">
        <v>102</v>
      </c>
      <c r="B104" t="s">
        <v>106</v>
      </c>
      <c r="C104">
        <v>94968.101869129998</v>
      </c>
      <c r="D104">
        <v>0</v>
      </c>
      <c r="E104">
        <v>-718.84259012428527</v>
      </c>
    </row>
    <row r="105" spans="1:5" x14ac:dyDescent="0.3">
      <c r="A105" s="1">
        <v>103</v>
      </c>
      <c r="B105" t="s">
        <v>107</v>
      </c>
      <c r="C105">
        <v>94933.843956480006</v>
      </c>
      <c r="D105">
        <v>0</v>
      </c>
      <c r="E105">
        <v>-2533.07802176</v>
      </c>
    </row>
    <row r="106" spans="1:5" x14ac:dyDescent="0.3">
      <c r="A106" s="1">
        <v>104</v>
      </c>
      <c r="B106" t="s">
        <v>108</v>
      </c>
      <c r="C106">
        <v>115339.35265615099</v>
      </c>
      <c r="D106">
        <v>0</v>
      </c>
      <c r="E106">
        <v>-570.1435995963343</v>
      </c>
    </row>
    <row r="107" spans="1:5" x14ac:dyDescent="0.3">
      <c r="A107" s="1">
        <v>105</v>
      </c>
      <c r="B107" t="s">
        <v>109</v>
      </c>
      <c r="C107">
        <v>109366.255707252</v>
      </c>
      <c r="D107">
        <v>0</v>
      </c>
      <c r="E107">
        <v>-381.40950175255159</v>
      </c>
    </row>
    <row r="108" spans="1:5" x14ac:dyDescent="0.3">
      <c r="A108" s="1">
        <v>106</v>
      </c>
      <c r="B108" t="s">
        <v>110</v>
      </c>
      <c r="C108">
        <v>154078.72435227499</v>
      </c>
      <c r="D108">
        <v>0</v>
      </c>
      <c r="E108">
        <v>4435.4280441781748</v>
      </c>
    </row>
    <row r="109" spans="1:5" x14ac:dyDescent="0.3">
      <c r="A109" s="1">
        <v>107</v>
      </c>
      <c r="B109" t="s">
        <v>111</v>
      </c>
      <c r="C109">
        <v>96438.873788430996</v>
      </c>
      <c r="D109">
        <v>0</v>
      </c>
      <c r="E109">
        <v>-890.28155289225106</v>
      </c>
    </row>
    <row r="110" spans="1:5" x14ac:dyDescent="0.3">
      <c r="A110" s="1">
        <v>108</v>
      </c>
      <c r="B110" t="s">
        <v>112</v>
      </c>
      <c r="C110">
        <v>94935.682188420004</v>
      </c>
      <c r="D110">
        <v>0</v>
      </c>
      <c r="E110">
        <v>-633.03972644750002</v>
      </c>
    </row>
    <row r="111" spans="1:5" x14ac:dyDescent="0.3">
      <c r="A111" s="1">
        <v>109</v>
      </c>
      <c r="B111" t="s">
        <v>113</v>
      </c>
      <c r="C111">
        <v>95042.880893049994</v>
      </c>
      <c r="D111">
        <v>0</v>
      </c>
      <c r="E111">
        <v>-4957.1191069500001</v>
      </c>
    </row>
    <row r="112" spans="1:5" x14ac:dyDescent="0.3">
      <c r="A112" s="1">
        <v>110</v>
      </c>
      <c r="B112" t="s">
        <v>114</v>
      </c>
      <c r="C112">
        <v>91263.43109017401</v>
      </c>
      <c r="D112">
        <v>0</v>
      </c>
      <c r="E112">
        <v>-1359.029893791238</v>
      </c>
    </row>
    <row r="113" spans="1:5" x14ac:dyDescent="0.3">
      <c r="A113" s="1">
        <v>111</v>
      </c>
      <c r="B113" t="s">
        <v>115</v>
      </c>
      <c r="C113">
        <v>94951.314437658002</v>
      </c>
      <c r="D113">
        <v>0</v>
      </c>
      <c r="E113">
        <v>-1009.7371124684011</v>
      </c>
    </row>
    <row r="114" spans="1:5" x14ac:dyDescent="0.3">
      <c r="A114" s="1">
        <v>112</v>
      </c>
      <c r="B114" t="s">
        <v>116</v>
      </c>
      <c r="C114">
        <v>90133.182928261012</v>
      </c>
      <c r="D114">
        <v>0</v>
      </c>
      <c r="E114">
        <v>-1951.145235383892</v>
      </c>
    </row>
    <row r="115" spans="1:5" x14ac:dyDescent="0.3">
      <c r="A115" s="1">
        <v>113</v>
      </c>
      <c r="B115" t="s">
        <v>117</v>
      </c>
      <c r="C115">
        <v>124865.805417</v>
      </c>
      <c r="D115">
        <v>0</v>
      </c>
      <c r="E115">
        <v>355.22579167142862</v>
      </c>
    </row>
    <row r="116" spans="1:5" x14ac:dyDescent="0.3">
      <c r="A116" s="1">
        <v>114</v>
      </c>
      <c r="B116" t="s">
        <v>118</v>
      </c>
      <c r="C116">
        <v>96053.962629375994</v>
      </c>
      <c r="D116">
        <v>0</v>
      </c>
      <c r="E116">
        <v>-563.71962437485706</v>
      </c>
    </row>
    <row r="117" spans="1:5" x14ac:dyDescent="0.3">
      <c r="A117" s="1">
        <v>115</v>
      </c>
      <c r="B117" t="s">
        <v>119</v>
      </c>
      <c r="C117">
        <v>96583.468335825499</v>
      </c>
      <c r="D117">
        <v>0</v>
      </c>
      <c r="E117">
        <v>-1708.2658320872531</v>
      </c>
    </row>
    <row r="118" spans="1:5" x14ac:dyDescent="0.3">
      <c r="A118" s="1">
        <v>116</v>
      </c>
      <c r="B118" t="s">
        <v>120</v>
      </c>
      <c r="C118">
        <v>96632.143490041999</v>
      </c>
      <c r="D118">
        <v>0</v>
      </c>
      <c r="E118">
        <v>-82.1428417062926</v>
      </c>
    </row>
    <row r="119" spans="1:5" x14ac:dyDescent="0.3">
      <c r="A119" s="1">
        <v>117</v>
      </c>
      <c r="B119" t="s">
        <v>121</v>
      </c>
      <c r="C119">
        <v>123909.2330874</v>
      </c>
      <c r="D119">
        <v>0</v>
      </c>
      <c r="E119">
        <v>519.76593668260864</v>
      </c>
    </row>
    <row r="120" spans="1:5" x14ac:dyDescent="0.3">
      <c r="A120" s="1">
        <v>118</v>
      </c>
      <c r="B120" t="s">
        <v>122</v>
      </c>
      <c r="C120">
        <v>120472.36043286401</v>
      </c>
      <c r="D120">
        <v>0</v>
      </c>
      <c r="E120">
        <v>-4037.986873673</v>
      </c>
    </row>
    <row r="121" spans="1:5" x14ac:dyDescent="0.3">
      <c r="A121" s="1">
        <v>119</v>
      </c>
      <c r="B121" t="s">
        <v>123</v>
      </c>
      <c r="C121">
        <v>118470.0946433175</v>
      </c>
      <c r="D121">
        <v>0</v>
      </c>
      <c r="E121">
        <v>1399.3289098667001</v>
      </c>
    </row>
    <row r="122" spans="1:5" x14ac:dyDescent="0.3">
      <c r="A122" s="1">
        <v>120</v>
      </c>
      <c r="B122" t="s">
        <v>124</v>
      </c>
      <c r="C122">
        <v>93614.174691720997</v>
      </c>
      <c r="D122">
        <v>0</v>
      </c>
      <c r="E122">
        <v>-338.42081627608479</v>
      </c>
    </row>
    <row r="123" spans="1:5" x14ac:dyDescent="0.3">
      <c r="A123" s="1">
        <v>121</v>
      </c>
      <c r="B123" t="s">
        <v>125</v>
      </c>
      <c r="C123">
        <v>107876.584076742</v>
      </c>
      <c r="D123">
        <v>0</v>
      </c>
      <c r="E123">
        <v>206.09161019439961</v>
      </c>
    </row>
    <row r="124" spans="1:5" x14ac:dyDescent="0.3">
      <c r="A124" s="1">
        <v>122</v>
      </c>
      <c r="B124" t="s">
        <v>126</v>
      </c>
      <c r="C124">
        <v>95135.980675069499</v>
      </c>
      <c r="D124">
        <v>0</v>
      </c>
      <c r="E124">
        <v>-173.71497589037489</v>
      </c>
    </row>
    <row r="125" spans="1:5" x14ac:dyDescent="0.3">
      <c r="A125" s="1">
        <v>123</v>
      </c>
      <c r="B125" t="s">
        <v>127</v>
      </c>
      <c r="C125">
        <v>108653.741528403</v>
      </c>
      <c r="D125">
        <v>0</v>
      </c>
      <c r="E125">
        <v>-855.21668115660395</v>
      </c>
    </row>
    <row r="126" spans="1:5" x14ac:dyDescent="0.3">
      <c r="A126" s="1">
        <v>124</v>
      </c>
      <c r="B126" t="s">
        <v>128</v>
      </c>
      <c r="C126">
        <v>124841.138202915</v>
      </c>
      <c r="D126">
        <v>0</v>
      </c>
      <c r="E126">
        <v>460.0210778317591</v>
      </c>
    </row>
    <row r="127" spans="1:5" x14ac:dyDescent="0.3">
      <c r="A127" s="1">
        <v>125</v>
      </c>
      <c r="B127" t="s">
        <v>129</v>
      </c>
      <c r="C127">
        <v>113396.002586508</v>
      </c>
      <c r="D127">
        <v>0</v>
      </c>
      <c r="E127">
        <v>837.25016165674788</v>
      </c>
    </row>
    <row r="128" spans="1:5" x14ac:dyDescent="0.3">
      <c r="A128" s="1">
        <v>126</v>
      </c>
      <c r="B128" t="s">
        <v>130</v>
      </c>
      <c r="C128">
        <v>90915.163344470508</v>
      </c>
      <c r="D128">
        <v>0</v>
      </c>
      <c r="E128">
        <v>-466.58858467311188</v>
      </c>
    </row>
    <row r="129" spans="1:5" x14ac:dyDescent="0.3">
      <c r="A129" s="1">
        <v>127</v>
      </c>
      <c r="B129" t="s">
        <v>131</v>
      </c>
      <c r="C129">
        <v>94930.566250000003</v>
      </c>
      <c r="D129">
        <v>0</v>
      </c>
      <c r="E129">
        <v>-149.1009926470588</v>
      </c>
    </row>
    <row r="130" spans="1:5" x14ac:dyDescent="0.3">
      <c r="A130" s="1">
        <v>128</v>
      </c>
      <c r="B130" t="s">
        <v>132</v>
      </c>
      <c r="C130">
        <v>97931.914026789513</v>
      </c>
      <c r="D130">
        <v>0</v>
      </c>
      <c r="E130">
        <v>0</v>
      </c>
    </row>
    <row r="131" spans="1:5" x14ac:dyDescent="0.3">
      <c r="A131" s="1">
        <v>129</v>
      </c>
      <c r="B131" t="s">
        <v>133</v>
      </c>
      <c r="C131">
        <v>118430.65231042</v>
      </c>
      <c r="D131">
        <v>0</v>
      </c>
      <c r="E131">
        <v>82.444844171644746</v>
      </c>
    </row>
    <row r="132" spans="1:5" x14ac:dyDescent="0.3">
      <c r="A132" s="1">
        <v>130</v>
      </c>
      <c r="B132" t="s">
        <v>134</v>
      </c>
      <c r="C132">
        <v>94938.237152579997</v>
      </c>
      <c r="D132">
        <v>0</v>
      </c>
      <c r="E132">
        <v>-140.60452353944439</v>
      </c>
    </row>
    <row r="133" spans="1:5" x14ac:dyDescent="0.3">
      <c r="A133" s="1">
        <v>131</v>
      </c>
      <c r="B133" t="s">
        <v>135</v>
      </c>
      <c r="C133">
        <v>94952.536369770009</v>
      </c>
      <c r="D133">
        <v>0</v>
      </c>
      <c r="E133">
        <v>-91.772066004181781</v>
      </c>
    </row>
    <row r="134" spans="1:5" x14ac:dyDescent="0.3">
      <c r="A134" s="1">
        <v>132</v>
      </c>
      <c r="B134" t="s">
        <v>136</v>
      </c>
      <c r="C134">
        <v>124810.1688060715</v>
      </c>
      <c r="D134">
        <v>0</v>
      </c>
      <c r="E134">
        <v>670.54510286679761</v>
      </c>
    </row>
    <row r="135" spans="1:5" x14ac:dyDescent="0.3">
      <c r="A135" s="1">
        <v>133</v>
      </c>
      <c r="B135" t="s">
        <v>137</v>
      </c>
      <c r="C135">
        <v>107216.174947696</v>
      </c>
      <c r="D135">
        <v>0</v>
      </c>
      <c r="E135">
        <v>4836.9485859074803</v>
      </c>
    </row>
    <row r="136" spans="1:5" x14ac:dyDescent="0.3">
      <c r="A136" s="1">
        <v>134</v>
      </c>
      <c r="B136" t="s">
        <v>138</v>
      </c>
      <c r="C136">
        <v>90586.952971676001</v>
      </c>
      <c r="D136">
        <v>0</v>
      </c>
      <c r="E136">
        <v>-1428.115540997316</v>
      </c>
    </row>
    <row r="137" spans="1:5" x14ac:dyDescent="0.3">
      <c r="A137" s="1">
        <v>135</v>
      </c>
      <c r="B137" t="s">
        <v>139</v>
      </c>
      <c r="C137">
        <v>119510.81195988601</v>
      </c>
      <c r="D137">
        <v>0</v>
      </c>
      <c r="E137">
        <v>-295.55767355355317</v>
      </c>
    </row>
    <row r="138" spans="1:5" x14ac:dyDescent="0.3">
      <c r="A138" s="1">
        <v>136</v>
      </c>
      <c r="B138" t="s">
        <v>140</v>
      </c>
      <c r="C138">
        <v>95179.282055246003</v>
      </c>
      <c r="D138">
        <v>0</v>
      </c>
      <c r="E138">
        <v>-83.115826633689537</v>
      </c>
    </row>
    <row r="139" spans="1:5" x14ac:dyDescent="0.3">
      <c r="A139" s="1">
        <v>137</v>
      </c>
      <c r="B139" t="s">
        <v>141</v>
      </c>
      <c r="C139">
        <v>117407.449866336</v>
      </c>
      <c r="D139">
        <v>0</v>
      </c>
      <c r="E139">
        <v>162.68644734893451</v>
      </c>
    </row>
    <row r="140" spans="1:5" x14ac:dyDescent="0.3">
      <c r="A140" s="1">
        <v>138</v>
      </c>
      <c r="B140" t="s">
        <v>142</v>
      </c>
      <c r="C140">
        <v>90159.124987071496</v>
      </c>
      <c r="D140">
        <v>0</v>
      </c>
      <c r="E140">
        <v>-579.63911142621691</v>
      </c>
    </row>
    <row r="141" spans="1:5" x14ac:dyDescent="0.3">
      <c r="A141" s="1">
        <v>139</v>
      </c>
      <c r="B141" t="s">
        <v>143</v>
      </c>
      <c r="C141">
        <v>116649.25666135149</v>
      </c>
      <c r="D141">
        <v>0</v>
      </c>
      <c r="E141">
        <v>913.27327437364056</v>
      </c>
    </row>
    <row r="142" spans="1:5" x14ac:dyDescent="0.3">
      <c r="A142" s="1">
        <v>140</v>
      </c>
      <c r="B142" t="s">
        <v>144</v>
      </c>
      <c r="C142">
        <v>94956.427597799993</v>
      </c>
      <c r="D142">
        <v>0</v>
      </c>
      <c r="E142">
        <v>-123.0139610292683</v>
      </c>
    </row>
    <row r="143" spans="1:5" x14ac:dyDescent="0.3">
      <c r="A143" s="1">
        <v>141</v>
      </c>
      <c r="B143" t="s">
        <v>145</v>
      </c>
      <c r="C143">
        <v>118107.27503623</v>
      </c>
      <c r="D143">
        <v>0</v>
      </c>
      <c r="E143">
        <v>0</v>
      </c>
    </row>
    <row r="144" spans="1:5" x14ac:dyDescent="0.3">
      <c r="A144" s="1">
        <v>142</v>
      </c>
      <c r="B144" t="s">
        <v>146</v>
      </c>
      <c r="C144">
        <v>124749.259144872</v>
      </c>
      <c r="D144">
        <v>0</v>
      </c>
      <c r="E144">
        <v>1302.5925865722111</v>
      </c>
    </row>
    <row r="145" spans="1:5" x14ac:dyDescent="0.3">
      <c r="A145" s="1">
        <v>143</v>
      </c>
      <c r="B145" t="s">
        <v>147</v>
      </c>
      <c r="C145">
        <v>101977.73993825199</v>
      </c>
      <c r="D145">
        <v>0</v>
      </c>
      <c r="E145">
        <v>2045.5795155276001</v>
      </c>
    </row>
    <row r="146" spans="1:5" x14ac:dyDescent="0.3">
      <c r="A146" s="1">
        <v>144</v>
      </c>
      <c r="B146" t="s">
        <v>148</v>
      </c>
      <c r="C146">
        <v>113683.12948582751</v>
      </c>
      <c r="D146">
        <v>0</v>
      </c>
      <c r="E146">
        <v>1368.312948582746</v>
      </c>
    </row>
    <row r="147" spans="1:5" x14ac:dyDescent="0.3">
      <c r="A147" s="1">
        <v>145</v>
      </c>
      <c r="B147" t="s">
        <v>149</v>
      </c>
      <c r="C147">
        <v>124869.34455838799</v>
      </c>
      <c r="D147">
        <v>0</v>
      </c>
      <c r="E147">
        <v>621.73361395969937</v>
      </c>
    </row>
    <row r="148" spans="1:5" x14ac:dyDescent="0.3">
      <c r="A148" s="1">
        <v>146</v>
      </c>
      <c r="B148" t="s">
        <v>150</v>
      </c>
      <c r="C148">
        <v>100696.72735242</v>
      </c>
      <c r="D148">
        <v>0</v>
      </c>
      <c r="E148">
        <v>0</v>
      </c>
    </row>
    <row r="149" spans="1:5" x14ac:dyDescent="0.3">
      <c r="A149" s="1">
        <v>147</v>
      </c>
      <c r="B149" t="s">
        <v>151</v>
      </c>
      <c r="C149">
        <v>112462.18031143599</v>
      </c>
      <c r="D149">
        <v>0</v>
      </c>
      <c r="E149">
        <v>10.27252335536588</v>
      </c>
    </row>
    <row r="150" spans="1:5" x14ac:dyDescent="0.3">
      <c r="A150" s="1">
        <v>148</v>
      </c>
      <c r="B150" t="s">
        <v>152</v>
      </c>
      <c r="C150">
        <v>109143.135757975</v>
      </c>
      <c r="D150">
        <v>0</v>
      </c>
      <c r="E150">
        <v>-151.0638817716675</v>
      </c>
    </row>
    <row r="151" spans="1:5" x14ac:dyDescent="0.3">
      <c r="A151" s="1">
        <v>149</v>
      </c>
      <c r="B151" t="s">
        <v>153</v>
      </c>
      <c r="C151">
        <v>97499.436255374487</v>
      </c>
      <c r="D151">
        <v>0</v>
      </c>
      <c r="E151">
        <v>-227.32397678413699</v>
      </c>
    </row>
    <row r="152" spans="1:5" x14ac:dyDescent="0.3">
      <c r="A152" s="1">
        <v>150</v>
      </c>
      <c r="B152" t="s">
        <v>154</v>
      </c>
      <c r="C152">
        <v>94942.723268009999</v>
      </c>
      <c r="D152">
        <v>0</v>
      </c>
      <c r="E152">
        <v>-42.498123798235298</v>
      </c>
    </row>
    <row r="153" spans="1:5" x14ac:dyDescent="0.3">
      <c r="A153" s="1">
        <v>151</v>
      </c>
      <c r="B153" t="s">
        <v>155</v>
      </c>
      <c r="C153">
        <v>114691.743933426</v>
      </c>
      <c r="D153">
        <v>0</v>
      </c>
      <c r="E153">
        <v>0</v>
      </c>
    </row>
    <row r="154" spans="1:5" x14ac:dyDescent="0.3">
      <c r="A154" s="1">
        <v>152</v>
      </c>
      <c r="B154" t="s">
        <v>156</v>
      </c>
      <c r="C154">
        <v>101610.98696282999</v>
      </c>
      <c r="D154">
        <v>0</v>
      </c>
      <c r="E154">
        <v>0</v>
      </c>
    </row>
    <row r="155" spans="1:5" x14ac:dyDescent="0.3">
      <c r="A155" s="1">
        <v>153</v>
      </c>
      <c r="B155" t="s">
        <v>157</v>
      </c>
      <c r="C155">
        <v>147761.665362003</v>
      </c>
      <c r="D155">
        <v>0</v>
      </c>
      <c r="E155">
        <v>753.78847855332094</v>
      </c>
    </row>
    <row r="156" spans="1:5" x14ac:dyDescent="0.3">
      <c r="A156" s="1">
        <v>154</v>
      </c>
      <c r="B156" t="s">
        <v>158</v>
      </c>
      <c r="C156">
        <v>114792.21080099999</v>
      </c>
      <c r="D156">
        <v>0</v>
      </c>
      <c r="E156">
        <v>105.6586485785714</v>
      </c>
    </row>
    <row r="157" spans="1:5" x14ac:dyDescent="0.3">
      <c r="A157" s="1">
        <v>155</v>
      </c>
      <c r="B157" t="s">
        <v>159</v>
      </c>
      <c r="C157">
        <v>94956.563242905002</v>
      </c>
      <c r="D157">
        <v>0</v>
      </c>
      <c r="E157">
        <v>0</v>
      </c>
    </row>
    <row r="158" spans="1:5" x14ac:dyDescent="0.3">
      <c r="A158" s="1">
        <v>156</v>
      </c>
      <c r="B158" t="s">
        <v>160</v>
      </c>
      <c r="C158">
        <v>110974.7164641665</v>
      </c>
      <c r="D158">
        <v>0</v>
      </c>
      <c r="E158">
        <v>939.39470260122278</v>
      </c>
    </row>
    <row r="159" spans="1:5" x14ac:dyDescent="0.3">
      <c r="A159" s="1">
        <v>157</v>
      </c>
      <c r="B159" t="s">
        <v>161</v>
      </c>
      <c r="C159">
        <v>96136.504561681009</v>
      </c>
      <c r="D159">
        <v>0</v>
      </c>
      <c r="E159">
        <v>-203.34186517468399</v>
      </c>
    </row>
    <row r="160" spans="1:5" x14ac:dyDescent="0.3">
      <c r="A160" s="1">
        <v>158</v>
      </c>
      <c r="B160" t="s">
        <v>162</v>
      </c>
      <c r="C160">
        <v>124142.99083573199</v>
      </c>
      <c r="D160">
        <v>0</v>
      </c>
      <c r="E160">
        <v>221.49532876818341</v>
      </c>
    </row>
    <row r="161" spans="1:5" x14ac:dyDescent="0.3">
      <c r="A161" s="1">
        <v>159</v>
      </c>
      <c r="B161" t="s">
        <v>163</v>
      </c>
      <c r="C161">
        <v>122668.5907588245</v>
      </c>
      <c r="D161">
        <v>0</v>
      </c>
      <c r="E161">
        <v>0</v>
      </c>
    </row>
    <row r="162" spans="1:5" x14ac:dyDescent="0.3">
      <c r="A162" s="1">
        <v>160</v>
      </c>
      <c r="B162" t="s">
        <v>164</v>
      </c>
      <c r="C162">
        <v>124792.059844698</v>
      </c>
      <c r="D162">
        <v>0</v>
      </c>
      <c r="E162">
        <v>146.69857896271</v>
      </c>
    </row>
    <row r="163" spans="1:5" x14ac:dyDescent="0.3">
      <c r="A163" s="1">
        <v>161</v>
      </c>
      <c r="B163" t="s">
        <v>165</v>
      </c>
      <c r="C163">
        <v>124908.43854627</v>
      </c>
      <c r="D163">
        <v>0</v>
      </c>
      <c r="E163">
        <v>222.39677273455339</v>
      </c>
    </row>
    <row r="164" spans="1:5" x14ac:dyDescent="0.3">
      <c r="A164" s="1">
        <v>162</v>
      </c>
      <c r="B164" t="s">
        <v>166</v>
      </c>
      <c r="C164">
        <v>94950.278604671999</v>
      </c>
      <c r="D164">
        <v>0</v>
      </c>
      <c r="E164">
        <v>-336.64809302186649</v>
      </c>
    </row>
    <row r="165" spans="1:5" x14ac:dyDescent="0.3">
      <c r="A165" s="1">
        <v>163</v>
      </c>
      <c r="B165" t="s">
        <v>167</v>
      </c>
      <c r="C165">
        <v>93506.076693736992</v>
      </c>
      <c r="D165">
        <v>0</v>
      </c>
      <c r="E165">
        <v>0</v>
      </c>
    </row>
    <row r="166" spans="1:5" x14ac:dyDescent="0.3">
      <c r="A166" s="1">
        <v>164</v>
      </c>
      <c r="B166" t="s">
        <v>168</v>
      </c>
      <c r="C166">
        <v>124223.592166773</v>
      </c>
      <c r="D166">
        <v>0</v>
      </c>
      <c r="E166">
        <v>156.28123978563221</v>
      </c>
    </row>
    <row r="167" spans="1:5" x14ac:dyDescent="0.3">
      <c r="A167" s="1">
        <v>165</v>
      </c>
      <c r="B167" t="s">
        <v>169</v>
      </c>
      <c r="C167">
        <v>94948.385828132508</v>
      </c>
      <c r="D167">
        <v>0</v>
      </c>
      <c r="E167">
        <v>-252.58070859337479</v>
      </c>
    </row>
    <row r="168" spans="1:5" x14ac:dyDescent="0.3">
      <c r="A168" s="1">
        <v>166</v>
      </c>
      <c r="B168" t="s">
        <v>170</v>
      </c>
      <c r="C168">
        <v>91506.204638880008</v>
      </c>
      <c r="D168">
        <v>0</v>
      </c>
      <c r="E168">
        <v>-1547.659764293333</v>
      </c>
    </row>
    <row r="169" spans="1:5" x14ac:dyDescent="0.3">
      <c r="A169" s="1">
        <v>167</v>
      </c>
      <c r="B169" t="s">
        <v>171</v>
      </c>
      <c r="C169">
        <v>93242.997858567498</v>
      </c>
      <c r="D169">
        <v>0</v>
      </c>
      <c r="E169">
        <v>0</v>
      </c>
    </row>
    <row r="170" spans="1:5" x14ac:dyDescent="0.3">
      <c r="A170" s="1">
        <v>168</v>
      </c>
      <c r="B170" t="s">
        <v>172</v>
      </c>
      <c r="C170">
        <v>94952.463527651009</v>
      </c>
      <c r="D170">
        <v>0</v>
      </c>
      <c r="E170">
        <v>-152.95565067724229</v>
      </c>
    </row>
    <row r="171" spans="1:5" x14ac:dyDescent="0.3">
      <c r="A171" s="1">
        <v>169</v>
      </c>
      <c r="B171" t="s">
        <v>173</v>
      </c>
      <c r="C171">
        <v>124873.25923091199</v>
      </c>
      <c r="D171">
        <v>0</v>
      </c>
      <c r="E171">
        <v>407.75834804773791</v>
      </c>
    </row>
    <row r="172" spans="1:5" x14ac:dyDescent="0.3">
      <c r="A172" s="1">
        <v>170</v>
      </c>
      <c r="B172" t="s">
        <v>174</v>
      </c>
      <c r="C172">
        <v>95016.040178433002</v>
      </c>
      <c r="D172">
        <v>0</v>
      </c>
      <c r="E172">
        <v>-171.8606835023102</v>
      </c>
    </row>
    <row r="173" spans="1:5" x14ac:dyDescent="0.3">
      <c r="A173" s="1">
        <v>171</v>
      </c>
      <c r="B173" t="s">
        <v>175</v>
      </c>
      <c r="C173">
        <v>104641.8419734795</v>
      </c>
      <c r="D173">
        <v>0</v>
      </c>
      <c r="E173">
        <v>0</v>
      </c>
    </row>
    <row r="174" spans="1:5" x14ac:dyDescent="0.3">
      <c r="A174" s="1">
        <v>172</v>
      </c>
      <c r="B174" t="s">
        <v>176</v>
      </c>
      <c r="C174">
        <v>102034.126646205</v>
      </c>
      <c r="D174">
        <v>0</v>
      </c>
      <c r="E174">
        <v>301.54893772500418</v>
      </c>
    </row>
    <row r="175" spans="1:5" x14ac:dyDescent="0.3">
      <c r="A175" s="1">
        <v>173</v>
      </c>
      <c r="B175" t="s">
        <v>177</v>
      </c>
      <c r="C175">
        <v>95194.023190238499</v>
      </c>
      <c r="D175">
        <v>0</v>
      </c>
      <c r="E175">
        <v>-83.585176917750147</v>
      </c>
    </row>
    <row r="176" spans="1:5" x14ac:dyDescent="0.3">
      <c r="A176" s="1">
        <v>174</v>
      </c>
      <c r="B176" t="s">
        <v>178</v>
      </c>
      <c r="C176">
        <v>109007.69850797</v>
      </c>
      <c r="D176">
        <v>0</v>
      </c>
      <c r="E176">
        <v>4503.8492539849876</v>
      </c>
    </row>
    <row r="177" spans="1:5" x14ac:dyDescent="0.3">
      <c r="A177" s="1">
        <v>175</v>
      </c>
      <c r="B177" t="s">
        <v>179</v>
      </c>
      <c r="C177">
        <v>118331.39050778</v>
      </c>
      <c r="D177">
        <v>0</v>
      </c>
      <c r="E177">
        <v>-1334.344729914952</v>
      </c>
    </row>
    <row r="178" spans="1:5" x14ac:dyDescent="0.3">
      <c r="A178" s="1">
        <v>176</v>
      </c>
      <c r="B178" t="s">
        <v>180</v>
      </c>
      <c r="C178">
        <v>94960.487187869992</v>
      </c>
      <c r="D178">
        <v>0</v>
      </c>
      <c r="E178">
        <v>-132.61875821394739</v>
      </c>
    </row>
    <row r="179" spans="1:5" x14ac:dyDescent="0.3">
      <c r="A179" s="1">
        <v>177</v>
      </c>
      <c r="B179" t="s">
        <v>181</v>
      </c>
      <c r="C179">
        <v>96340.902643984999</v>
      </c>
      <c r="D179">
        <v>0</v>
      </c>
      <c r="E179">
        <v>-1829.5486780075</v>
      </c>
    </row>
    <row r="180" spans="1:5" x14ac:dyDescent="0.3">
      <c r="A180" s="1">
        <v>178</v>
      </c>
      <c r="B180" t="s">
        <v>182</v>
      </c>
      <c r="C180">
        <v>92640.497241552497</v>
      </c>
      <c r="D180">
        <v>0</v>
      </c>
      <c r="E180">
        <v>-2473.912095679997</v>
      </c>
    </row>
    <row r="181" spans="1:5" x14ac:dyDescent="0.3">
      <c r="A181" s="1">
        <v>179</v>
      </c>
      <c r="B181" t="s">
        <v>183</v>
      </c>
      <c r="C181">
        <v>94939.686712440991</v>
      </c>
      <c r="D181">
        <v>0</v>
      </c>
      <c r="E181">
        <v>-316.26958047243772</v>
      </c>
    </row>
    <row r="182" spans="1:5" x14ac:dyDescent="0.3">
      <c r="A182" s="1">
        <v>180</v>
      </c>
      <c r="B182" t="s">
        <v>184</v>
      </c>
      <c r="C182">
        <v>96462.100361342498</v>
      </c>
      <c r="D182">
        <v>0</v>
      </c>
      <c r="E182">
        <v>-520.71939039999995</v>
      </c>
    </row>
    <row r="183" spans="1:5" x14ac:dyDescent="0.3">
      <c r="A183" s="1">
        <v>181</v>
      </c>
      <c r="B183" t="s">
        <v>185</v>
      </c>
      <c r="C183">
        <v>98879.365227911985</v>
      </c>
      <c r="D183">
        <v>0</v>
      </c>
      <c r="E183">
        <v>0</v>
      </c>
    </row>
    <row r="184" spans="1:5" x14ac:dyDescent="0.3">
      <c r="A184" s="1">
        <v>182</v>
      </c>
      <c r="B184" t="s">
        <v>186</v>
      </c>
      <c r="C184">
        <v>114168.693541</v>
      </c>
      <c r="D184">
        <v>0</v>
      </c>
      <c r="E184">
        <v>-2367.9227332755322</v>
      </c>
    </row>
    <row r="185" spans="1:5" x14ac:dyDescent="0.3">
      <c r="A185" s="1">
        <v>183</v>
      </c>
      <c r="B185" t="s">
        <v>187</v>
      </c>
      <c r="C185">
        <v>94984.098573399999</v>
      </c>
      <c r="D185">
        <v>0</v>
      </c>
      <c r="E185">
        <v>-104.49794638749999</v>
      </c>
    </row>
    <row r="186" spans="1:5" x14ac:dyDescent="0.3">
      <c r="A186" s="1">
        <v>184</v>
      </c>
      <c r="B186" t="s">
        <v>188</v>
      </c>
      <c r="C186">
        <v>98081.349934476006</v>
      </c>
      <c r="D186">
        <v>0</v>
      </c>
      <c r="E186">
        <v>-274.09286650342818</v>
      </c>
    </row>
    <row r="187" spans="1:5" x14ac:dyDescent="0.3">
      <c r="A187" s="1">
        <v>185</v>
      </c>
      <c r="B187" t="s">
        <v>189</v>
      </c>
      <c r="C187">
        <v>119643.2865368035</v>
      </c>
      <c r="D187">
        <v>0</v>
      </c>
      <c r="E187">
        <v>-1421.419107708889</v>
      </c>
    </row>
    <row r="188" spans="1:5" x14ac:dyDescent="0.3">
      <c r="A188" s="1">
        <v>186</v>
      </c>
      <c r="B188" t="s">
        <v>190</v>
      </c>
      <c r="C188">
        <v>124762.94828159999</v>
      </c>
      <c r="D188">
        <v>0</v>
      </c>
      <c r="E188">
        <v>245.1777057584159</v>
      </c>
    </row>
    <row r="189" spans="1:5" x14ac:dyDescent="0.3">
      <c r="A189" s="1">
        <v>187</v>
      </c>
      <c r="B189" t="s">
        <v>191</v>
      </c>
      <c r="C189">
        <v>97573.540554355</v>
      </c>
      <c r="D189">
        <v>0</v>
      </c>
      <c r="E189">
        <v>-2426.459445645</v>
      </c>
    </row>
    <row r="190" spans="1:5" x14ac:dyDescent="0.3">
      <c r="A190" s="1">
        <v>188</v>
      </c>
      <c r="B190" t="s">
        <v>192</v>
      </c>
      <c r="C190">
        <v>116586.82016775</v>
      </c>
      <c r="D190">
        <v>0</v>
      </c>
      <c r="E190">
        <v>8293.4100838750001</v>
      </c>
    </row>
    <row r="191" spans="1:5" x14ac:dyDescent="0.3">
      <c r="A191" s="1">
        <v>189</v>
      </c>
      <c r="B191" t="s">
        <v>193</v>
      </c>
      <c r="C191">
        <v>93504.040502037504</v>
      </c>
      <c r="D191">
        <v>0</v>
      </c>
      <c r="E191">
        <v>-1404.2321406791971</v>
      </c>
    </row>
    <row r="192" spans="1:5" x14ac:dyDescent="0.3">
      <c r="A192" s="1">
        <v>190</v>
      </c>
      <c r="B192" t="s">
        <v>194</v>
      </c>
      <c r="C192">
        <v>94953.684211904998</v>
      </c>
      <c r="D192">
        <v>0</v>
      </c>
      <c r="E192">
        <v>-265.59556779447382</v>
      </c>
    </row>
    <row r="193" spans="1:5" x14ac:dyDescent="0.3">
      <c r="A193" s="1">
        <v>191</v>
      </c>
      <c r="B193" t="s">
        <v>195</v>
      </c>
      <c r="C193">
        <v>97280.997618121997</v>
      </c>
      <c r="D193">
        <v>0</v>
      </c>
      <c r="E193">
        <v>-453.16706364633382</v>
      </c>
    </row>
    <row r="194" spans="1:5" x14ac:dyDescent="0.3">
      <c r="A194" s="1">
        <v>192</v>
      </c>
      <c r="B194" t="s">
        <v>196</v>
      </c>
      <c r="C194">
        <v>118563.01352386799</v>
      </c>
      <c r="D194">
        <v>0</v>
      </c>
      <c r="E194">
        <v>-499.92584167830859</v>
      </c>
    </row>
    <row r="195" spans="1:5" x14ac:dyDescent="0.3">
      <c r="A195" s="1">
        <v>193</v>
      </c>
      <c r="B195" t="s">
        <v>197</v>
      </c>
      <c r="C195">
        <v>97555.794873078004</v>
      </c>
      <c r="D195">
        <v>0</v>
      </c>
      <c r="E195">
        <v>-349.1721609888574</v>
      </c>
    </row>
    <row r="196" spans="1:5" x14ac:dyDescent="0.3">
      <c r="A196" s="1">
        <v>194</v>
      </c>
      <c r="B196" t="s">
        <v>198</v>
      </c>
      <c r="C196">
        <v>123957.58319808501</v>
      </c>
      <c r="D196">
        <v>0</v>
      </c>
      <c r="E196">
        <v>328.18607120664342</v>
      </c>
    </row>
    <row r="197" spans="1:5" x14ac:dyDescent="0.3">
      <c r="A197" s="1">
        <v>195</v>
      </c>
      <c r="B197" t="s">
        <v>199</v>
      </c>
      <c r="C197">
        <v>97829.648936190002</v>
      </c>
      <c r="D197">
        <v>0</v>
      </c>
      <c r="E197">
        <v>-723.4503546033302</v>
      </c>
    </row>
    <row r="198" spans="1:5" x14ac:dyDescent="0.3">
      <c r="A198" s="1">
        <v>196</v>
      </c>
      <c r="B198" t="s">
        <v>200</v>
      </c>
      <c r="C198">
        <v>110985.54572281351</v>
      </c>
      <c r="D198">
        <v>0</v>
      </c>
      <c r="E198">
        <v>10985.545722813489</v>
      </c>
    </row>
    <row r="199" spans="1:5" x14ac:dyDescent="0.3">
      <c r="A199" s="1">
        <v>197</v>
      </c>
      <c r="B199" t="s">
        <v>201</v>
      </c>
      <c r="C199">
        <v>108618.84998785501</v>
      </c>
      <c r="D199">
        <v>0</v>
      </c>
      <c r="E199">
        <v>114.91799983806629</v>
      </c>
    </row>
    <row r="200" spans="1:5" x14ac:dyDescent="0.3">
      <c r="A200" s="1">
        <v>198</v>
      </c>
      <c r="B200" t="s">
        <v>202</v>
      </c>
      <c r="C200">
        <v>119285.95325625</v>
      </c>
      <c r="D200">
        <v>0</v>
      </c>
      <c r="E200">
        <v>688.78404486607144</v>
      </c>
    </row>
    <row r="201" spans="1:5" x14ac:dyDescent="0.3">
      <c r="A201" s="1">
        <v>199</v>
      </c>
      <c r="B201" t="s">
        <v>203</v>
      </c>
      <c r="C201">
        <v>97137.55719158701</v>
      </c>
      <c r="D201">
        <v>0</v>
      </c>
      <c r="E201">
        <v>-260.22207349209071</v>
      </c>
    </row>
    <row r="202" spans="1:5" x14ac:dyDescent="0.3">
      <c r="A202" s="1">
        <v>200</v>
      </c>
      <c r="B202" t="s">
        <v>204</v>
      </c>
      <c r="C202">
        <v>124924.407278125</v>
      </c>
      <c r="D202">
        <v>0</v>
      </c>
      <c r="E202">
        <v>235.13591771816041</v>
      </c>
    </row>
    <row r="203" spans="1:5" x14ac:dyDescent="0.3">
      <c r="A203" s="1">
        <v>201</v>
      </c>
      <c r="B203" t="s">
        <v>205</v>
      </c>
      <c r="C203">
        <v>94960.814187586002</v>
      </c>
      <c r="D203">
        <v>0</v>
      </c>
      <c r="E203">
        <v>-179.97092187192851</v>
      </c>
    </row>
    <row r="204" spans="1:5" x14ac:dyDescent="0.3">
      <c r="A204" s="1">
        <v>202</v>
      </c>
      <c r="B204" t="s">
        <v>206</v>
      </c>
      <c r="C204">
        <v>106970.32132704</v>
      </c>
      <c r="D204">
        <v>0</v>
      </c>
      <c r="E204">
        <v>6970.3213270400174</v>
      </c>
    </row>
    <row r="205" spans="1:5" x14ac:dyDescent="0.3">
      <c r="A205" s="1">
        <v>203</v>
      </c>
      <c r="B205" t="s">
        <v>207</v>
      </c>
      <c r="C205">
        <v>95669.644865930008</v>
      </c>
      <c r="D205">
        <v>0</v>
      </c>
      <c r="E205">
        <v>-309.31108100499949</v>
      </c>
    </row>
    <row r="206" spans="1:5" x14ac:dyDescent="0.3">
      <c r="A206" s="1">
        <v>204</v>
      </c>
      <c r="B206" t="s">
        <v>208</v>
      </c>
      <c r="C206">
        <v>111256.9882776075</v>
      </c>
      <c r="D206">
        <v>0</v>
      </c>
      <c r="E206">
        <v>662.17578103573521</v>
      </c>
    </row>
    <row r="207" spans="1:5" x14ac:dyDescent="0.3">
      <c r="A207" s="1">
        <v>205</v>
      </c>
      <c r="B207" t="s">
        <v>209</v>
      </c>
      <c r="C207">
        <v>124831.97366793751</v>
      </c>
      <c r="D207">
        <v>0</v>
      </c>
      <c r="E207">
        <v>302.82894716996918</v>
      </c>
    </row>
    <row r="208" spans="1:5" x14ac:dyDescent="0.3">
      <c r="A208" s="1">
        <v>206</v>
      </c>
      <c r="B208" t="s">
        <v>210</v>
      </c>
      <c r="C208">
        <v>94953.819393576006</v>
      </c>
      <c r="D208">
        <v>0</v>
      </c>
      <c r="E208">
        <v>-360.44147188742829</v>
      </c>
    </row>
    <row r="209" spans="1:5" x14ac:dyDescent="0.3">
      <c r="A209" s="1">
        <v>207</v>
      </c>
      <c r="B209" t="s">
        <v>211</v>
      </c>
      <c r="C209">
        <v>124835.0681296</v>
      </c>
      <c r="D209">
        <v>0</v>
      </c>
      <c r="E209">
        <v>827.83560432000002</v>
      </c>
    </row>
    <row r="210" spans="1:5" x14ac:dyDescent="0.3">
      <c r="A210" s="1">
        <v>208</v>
      </c>
      <c r="B210" t="s">
        <v>212</v>
      </c>
      <c r="C210">
        <v>94927.120655475504</v>
      </c>
      <c r="D210">
        <v>0</v>
      </c>
      <c r="E210">
        <v>-55.745926862906558</v>
      </c>
    </row>
    <row r="211" spans="1:5" x14ac:dyDescent="0.3">
      <c r="A211" s="1">
        <v>209</v>
      </c>
      <c r="B211" t="s">
        <v>213</v>
      </c>
      <c r="C211">
        <v>114829.54055673</v>
      </c>
      <c r="D211">
        <v>0</v>
      </c>
      <c r="E211">
        <v>529.6264484546424</v>
      </c>
    </row>
    <row r="212" spans="1:5" x14ac:dyDescent="0.3">
      <c r="A212" s="1">
        <v>210</v>
      </c>
      <c r="B212" t="s">
        <v>214</v>
      </c>
      <c r="C212">
        <v>107773.093191269</v>
      </c>
      <c r="D212">
        <v>0</v>
      </c>
      <c r="E212">
        <v>185.07364741116771</v>
      </c>
    </row>
    <row r="213" spans="1:5" x14ac:dyDescent="0.3">
      <c r="A213" s="1">
        <v>211</v>
      </c>
      <c r="B213" t="s">
        <v>215</v>
      </c>
      <c r="C213">
        <v>112694.9409043825</v>
      </c>
      <c r="D213">
        <v>0</v>
      </c>
      <c r="E213">
        <v>604.52099544678651</v>
      </c>
    </row>
    <row r="214" spans="1:5" x14ac:dyDescent="0.3">
      <c r="A214" s="1">
        <v>212</v>
      </c>
      <c r="B214" t="s">
        <v>216</v>
      </c>
      <c r="C214">
        <v>115566.405364379</v>
      </c>
      <c r="D214">
        <v>0</v>
      </c>
      <c r="E214">
        <v>273.09483095401731</v>
      </c>
    </row>
    <row r="215" spans="1:5" x14ac:dyDescent="0.3">
      <c r="A215" s="1">
        <v>213</v>
      </c>
      <c r="B215" t="s">
        <v>217</v>
      </c>
      <c r="C215">
        <v>94931.242687535996</v>
      </c>
      <c r="D215">
        <v>0</v>
      </c>
      <c r="E215">
        <v>-136.99344087740531</v>
      </c>
    </row>
    <row r="216" spans="1:5" x14ac:dyDescent="0.3">
      <c r="A216" s="1">
        <v>214</v>
      </c>
      <c r="B216" t="s">
        <v>218</v>
      </c>
      <c r="C216">
        <v>94971.965915029999</v>
      </c>
      <c r="D216">
        <v>0</v>
      </c>
      <c r="E216">
        <v>-5028.0340849699996</v>
      </c>
    </row>
    <row r="217" spans="1:5" x14ac:dyDescent="0.3">
      <c r="A217" s="1">
        <v>215</v>
      </c>
      <c r="B217" t="s">
        <v>219</v>
      </c>
      <c r="C217">
        <v>124845.78646843899</v>
      </c>
      <c r="D217">
        <v>0</v>
      </c>
      <c r="E217">
        <v>671.50774239024247</v>
      </c>
    </row>
    <row r="218" spans="1:5" x14ac:dyDescent="0.3">
      <c r="A218" s="1">
        <v>216</v>
      </c>
      <c r="B218" t="s">
        <v>220</v>
      </c>
      <c r="C218">
        <v>122679.81433265989</v>
      </c>
      <c r="D218">
        <v>0</v>
      </c>
      <c r="E218">
        <v>527.43754261999823</v>
      </c>
    </row>
    <row r="219" spans="1:5" x14ac:dyDescent="0.3">
      <c r="A219" s="1">
        <v>217</v>
      </c>
      <c r="B219" t="s">
        <v>221</v>
      </c>
      <c r="C219">
        <v>97413.013677449999</v>
      </c>
      <c r="D219">
        <v>0</v>
      </c>
      <c r="E219">
        <v>-112.4776661978261</v>
      </c>
    </row>
    <row r="220" spans="1:5" x14ac:dyDescent="0.3">
      <c r="A220" s="1">
        <v>218</v>
      </c>
      <c r="B220" t="s">
        <v>222</v>
      </c>
      <c r="C220">
        <v>98490.77546782</v>
      </c>
      <c r="D220">
        <v>0</v>
      </c>
      <c r="E220">
        <v>-68.601115099091075</v>
      </c>
    </row>
    <row r="221" spans="1:5" x14ac:dyDescent="0.3">
      <c r="A221" s="1">
        <v>219</v>
      </c>
      <c r="B221" t="s">
        <v>223</v>
      </c>
      <c r="C221">
        <v>97028.474622784008</v>
      </c>
      <c r="D221">
        <v>0</v>
      </c>
      <c r="E221">
        <v>-2971.5253772159972</v>
      </c>
    </row>
    <row r="222" spans="1:5" x14ac:dyDescent="0.3">
      <c r="A222" s="1">
        <v>220</v>
      </c>
      <c r="B222" t="s">
        <v>224</v>
      </c>
      <c r="C222">
        <v>94941.614848559999</v>
      </c>
      <c r="D222">
        <v>0</v>
      </c>
      <c r="E222">
        <v>-144.52529004114291</v>
      </c>
    </row>
    <row r="223" spans="1:5" x14ac:dyDescent="0.3">
      <c r="A223" s="1">
        <v>221</v>
      </c>
      <c r="B223" t="s">
        <v>225</v>
      </c>
      <c r="C223">
        <v>118495.3438158405</v>
      </c>
      <c r="D223">
        <v>0</v>
      </c>
      <c r="E223">
        <v>385.3196628300102</v>
      </c>
    </row>
    <row r="224" spans="1:5" x14ac:dyDescent="0.3">
      <c r="A224" s="1">
        <v>222</v>
      </c>
      <c r="B224" t="s">
        <v>226</v>
      </c>
      <c r="C224">
        <v>115132.7315566185</v>
      </c>
      <c r="D224">
        <v>0</v>
      </c>
      <c r="E224">
        <v>445.08033990054361</v>
      </c>
    </row>
    <row r="225" spans="1:5" x14ac:dyDescent="0.3">
      <c r="A225" s="1">
        <v>223</v>
      </c>
      <c r="B225" t="s">
        <v>227</v>
      </c>
      <c r="C225">
        <v>112135.255219732</v>
      </c>
      <c r="D225">
        <v>0</v>
      </c>
      <c r="E225">
        <v>577.86929617771546</v>
      </c>
    </row>
    <row r="226" spans="1:5" x14ac:dyDescent="0.3">
      <c r="A226" s="1">
        <v>224</v>
      </c>
      <c r="B226" t="s">
        <v>228</v>
      </c>
      <c r="C226">
        <v>124865.3276536606</v>
      </c>
      <c r="D226">
        <v>0</v>
      </c>
      <c r="E226">
        <v>6216.3319134151379</v>
      </c>
    </row>
    <row r="227" spans="1:5" x14ac:dyDescent="0.3">
      <c r="A227" s="1">
        <v>225</v>
      </c>
      <c r="B227" t="s">
        <v>229</v>
      </c>
      <c r="C227">
        <v>110181.246665575</v>
      </c>
      <c r="D227">
        <v>0</v>
      </c>
      <c r="E227">
        <v>231.39196967215909</v>
      </c>
    </row>
    <row r="228" spans="1:5" x14ac:dyDescent="0.3">
      <c r="A228" s="1">
        <v>226</v>
      </c>
      <c r="B228" t="s">
        <v>230</v>
      </c>
      <c r="C228">
        <v>124811.1322353025</v>
      </c>
      <c r="D228">
        <v>0</v>
      </c>
      <c r="E228">
        <v>400.17955218229798</v>
      </c>
    </row>
    <row r="229" spans="1:5" x14ac:dyDescent="0.3">
      <c r="A229" s="1">
        <v>227</v>
      </c>
      <c r="B229" t="s">
        <v>231</v>
      </c>
      <c r="C229">
        <v>124763.75105789999</v>
      </c>
      <c r="D229">
        <v>0</v>
      </c>
      <c r="E229">
        <v>2063.6459214916672</v>
      </c>
    </row>
    <row r="230" spans="1:5" x14ac:dyDescent="0.3">
      <c r="A230" s="1">
        <v>228</v>
      </c>
      <c r="B230" t="s">
        <v>232</v>
      </c>
      <c r="C230">
        <v>121030.32898848</v>
      </c>
      <c r="D230">
        <v>0</v>
      </c>
      <c r="E230">
        <v>525.75822471199956</v>
      </c>
    </row>
    <row r="231" spans="1:5" x14ac:dyDescent="0.3">
      <c r="A231" s="1">
        <v>229</v>
      </c>
      <c r="B231" t="s">
        <v>233</v>
      </c>
      <c r="C231">
        <v>120632.91575652501</v>
      </c>
      <c r="D231">
        <v>0</v>
      </c>
      <c r="E231">
        <v>264.52456098108968</v>
      </c>
    </row>
    <row r="232" spans="1:5" x14ac:dyDescent="0.3">
      <c r="A232" s="1">
        <v>230</v>
      </c>
      <c r="B232" t="s">
        <v>234</v>
      </c>
      <c r="C232">
        <v>96080.336197525001</v>
      </c>
      <c r="D232">
        <v>0</v>
      </c>
      <c r="E232">
        <v>-1959.8319012375</v>
      </c>
    </row>
    <row r="233" spans="1:5" x14ac:dyDescent="0.3">
      <c r="A233" s="1">
        <v>231</v>
      </c>
      <c r="B233" t="s">
        <v>235</v>
      </c>
      <c r="C233">
        <v>120348.3797638395</v>
      </c>
      <c r="D233">
        <v>0</v>
      </c>
      <c r="E233">
        <v>496.30194545949911</v>
      </c>
    </row>
    <row r="234" spans="1:5" x14ac:dyDescent="0.3">
      <c r="A234" s="1">
        <v>232</v>
      </c>
      <c r="B234" t="s">
        <v>236</v>
      </c>
      <c r="C234">
        <v>104937.148993992</v>
      </c>
      <c r="D234">
        <v>0</v>
      </c>
      <c r="E234">
        <v>65.828653253226335</v>
      </c>
    </row>
    <row r="235" spans="1:5" x14ac:dyDescent="0.3">
      <c r="A235" s="1">
        <v>233</v>
      </c>
      <c r="B235" t="s">
        <v>237</v>
      </c>
      <c r="C235">
        <v>124919.96223487701</v>
      </c>
      <c r="D235">
        <v>0</v>
      </c>
      <c r="E235">
        <v>2076.663519573086</v>
      </c>
    </row>
    <row r="236" spans="1:5" x14ac:dyDescent="0.3">
      <c r="A236" s="1">
        <v>234</v>
      </c>
      <c r="B236" t="s">
        <v>238</v>
      </c>
      <c r="C236">
        <v>94969.103055875006</v>
      </c>
      <c r="D236">
        <v>0</v>
      </c>
      <c r="E236">
        <v>-558.98854934722203</v>
      </c>
    </row>
    <row r="237" spans="1:5" x14ac:dyDescent="0.3">
      <c r="A237" s="1">
        <v>235</v>
      </c>
      <c r="B237" t="s">
        <v>239</v>
      </c>
      <c r="C237">
        <v>108625.9263881459</v>
      </c>
      <c r="D237">
        <v>0</v>
      </c>
      <c r="E237">
        <v>1232.275198306565</v>
      </c>
    </row>
    <row r="238" spans="1:5" x14ac:dyDescent="0.3">
      <c r="A238" s="1">
        <v>236</v>
      </c>
      <c r="B238" t="s">
        <v>240</v>
      </c>
      <c r="C238">
        <v>111751.8086629975</v>
      </c>
      <c r="D238">
        <v>0</v>
      </c>
      <c r="E238">
        <v>1678.829808999636</v>
      </c>
    </row>
    <row r="239" spans="1:5" x14ac:dyDescent="0.3">
      <c r="A239" s="1">
        <v>237</v>
      </c>
      <c r="B239" t="s">
        <v>241</v>
      </c>
      <c r="C239">
        <v>94469.313735352</v>
      </c>
      <c r="D239">
        <v>0</v>
      </c>
      <c r="E239">
        <v>-263.36601260228559</v>
      </c>
    </row>
    <row r="240" spans="1:5" x14ac:dyDescent="0.3">
      <c r="A240" s="1">
        <v>238</v>
      </c>
      <c r="B240" t="s">
        <v>242</v>
      </c>
      <c r="C240">
        <v>94936.068701384997</v>
      </c>
      <c r="D240">
        <v>0</v>
      </c>
      <c r="E240">
        <v>-241.13958564833359</v>
      </c>
    </row>
    <row r="241" spans="1:5" x14ac:dyDescent="0.3">
      <c r="A241" s="1">
        <v>239</v>
      </c>
      <c r="B241" t="s">
        <v>243</v>
      </c>
      <c r="C241">
        <v>97523.604233940001</v>
      </c>
      <c r="D241">
        <v>0</v>
      </c>
      <c r="E241">
        <v>-190.49198200461541</v>
      </c>
    </row>
    <row r="242" spans="1:5" x14ac:dyDescent="0.3">
      <c r="A242" s="1">
        <v>240</v>
      </c>
      <c r="B242" t="s">
        <v>244</v>
      </c>
      <c r="C242">
        <v>94941.171696856502</v>
      </c>
      <c r="D242">
        <v>0</v>
      </c>
      <c r="E242">
        <v>-85.742852595652479</v>
      </c>
    </row>
    <row r="243" spans="1:5" x14ac:dyDescent="0.3">
      <c r="A243" s="1">
        <v>241</v>
      </c>
      <c r="B243" t="s">
        <v>245</v>
      </c>
      <c r="C243">
        <v>109031.37380930501</v>
      </c>
      <c r="D243">
        <v>0</v>
      </c>
      <c r="E243">
        <v>430.06541949071351</v>
      </c>
    </row>
    <row r="244" spans="1:5" x14ac:dyDescent="0.3">
      <c r="A244" s="1">
        <v>242</v>
      </c>
      <c r="B244" t="s">
        <v>246</v>
      </c>
      <c r="C244">
        <v>98798.421151314004</v>
      </c>
      <c r="D244">
        <v>0</v>
      </c>
      <c r="E244">
        <v>-600.78942434300154</v>
      </c>
    </row>
    <row r="245" spans="1:5" x14ac:dyDescent="0.3">
      <c r="A245" s="1">
        <v>243</v>
      </c>
      <c r="B245" t="s">
        <v>247</v>
      </c>
      <c r="C245">
        <v>97445.231213997497</v>
      </c>
      <c r="D245">
        <v>0</v>
      </c>
      <c r="E245">
        <v>-44.820505017587713</v>
      </c>
    </row>
    <row r="246" spans="1:5" x14ac:dyDescent="0.3">
      <c r="A246" s="1">
        <v>244</v>
      </c>
      <c r="B246" t="s">
        <v>248</v>
      </c>
      <c r="C246">
        <v>124885.974928725</v>
      </c>
      <c r="D246">
        <v>0</v>
      </c>
      <c r="E246">
        <v>2488.5974928724968</v>
      </c>
    </row>
    <row r="247" spans="1:5" x14ac:dyDescent="0.3">
      <c r="A247" s="1">
        <v>245</v>
      </c>
      <c r="B247" t="s">
        <v>249</v>
      </c>
      <c r="C247">
        <v>98312.541029524</v>
      </c>
      <c r="D247">
        <v>0</v>
      </c>
      <c r="E247">
        <v>0</v>
      </c>
    </row>
    <row r="248" spans="1:5" x14ac:dyDescent="0.3">
      <c r="A248" s="1">
        <v>246</v>
      </c>
      <c r="B248" t="s">
        <v>250</v>
      </c>
      <c r="C248">
        <v>97213.160139461994</v>
      </c>
      <c r="D248">
        <v>0</v>
      </c>
      <c r="E248">
        <v>-309.64887339311161</v>
      </c>
    </row>
    <row r="249" spans="1:5" x14ac:dyDescent="0.3">
      <c r="A249" s="1">
        <v>247</v>
      </c>
      <c r="B249" t="s">
        <v>251</v>
      </c>
      <c r="C249">
        <v>109269.470212773</v>
      </c>
      <c r="D249">
        <v>0</v>
      </c>
      <c r="E249">
        <v>1544.9117021288309</v>
      </c>
    </row>
    <row r="250" spans="1:5" x14ac:dyDescent="0.3">
      <c r="A250" s="1">
        <v>248</v>
      </c>
      <c r="B250" t="s">
        <v>252</v>
      </c>
      <c r="C250">
        <v>124884.58326965749</v>
      </c>
      <c r="D250">
        <v>0</v>
      </c>
      <c r="E250">
        <v>1777.470233546964</v>
      </c>
    </row>
    <row r="251" spans="1:5" x14ac:dyDescent="0.3">
      <c r="A251" s="1">
        <v>249</v>
      </c>
      <c r="B251" t="s">
        <v>253</v>
      </c>
      <c r="C251">
        <v>123197.69289848</v>
      </c>
      <c r="D251">
        <v>0</v>
      </c>
      <c r="E251">
        <v>1784.4379152676911</v>
      </c>
    </row>
    <row r="252" spans="1:5" x14ac:dyDescent="0.3">
      <c r="A252" s="1">
        <v>250</v>
      </c>
      <c r="B252" t="s">
        <v>254</v>
      </c>
      <c r="C252">
        <v>119881.94944839001</v>
      </c>
      <c r="D252">
        <v>0</v>
      </c>
      <c r="E252">
        <v>310.65546013109349</v>
      </c>
    </row>
    <row r="253" spans="1:5" x14ac:dyDescent="0.3">
      <c r="A253" s="1">
        <v>251</v>
      </c>
      <c r="B253" t="s">
        <v>255</v>
      </c>
      <c r="C253">
        <v>113722.062092255</v>
      </c>
      <c r="D253">
        <v>0</v>
      </c>
      <c r="E253">
        <v>623.73009510250154</v>
      </c>
    </row>
    <row r="254" spans="1:5" x14ac:dyDescent="0.3">
      <c r="A254" s="1">
        <v>252</v>
      </c>
      <c r="B254" t="s">
        <v>256</v>
      </c>
      <c r="C254">
        <v>99009.022847725995</v>
      </c>
      <c r="D254">
        <v>0</v>
      </c>
      <c r="E254">
        <v>0</v>
      </c>
    </row>
    <row r="255" spans="1:5" x14ac:dyDescent="0.3">
      <c r="A255" s="1">
        <v>253</v>
      </c>
      <c r="B255" t="s">
        <v>257</v>
      </c>
      <c r="C255">
        <v>118988.327650035</v>
      </c>
      <c r="D255">
        <v>0</v>
      </c>
      <c r="E255">
        <v>513.19804459554098</v>
      </c>
    </row>
    <row r="256" spans="1:5" x14ac:dyDescent="0.3">
      <c r="A256" s="1">
        <v>254</v>
      </c>
      <c r="B256" t="s">
        <v>258</v>
      </c>
      <c r="C256">
        <v>107643.0105427591</v>
      </c>
      <c r="D256">
        <v>0</v>
      </c>
      <c r="E256">
        <v>293.96194395227138</v>
      </c>
    </row>
    <row r="257" spans="1:5" x14ac:dyDescent="0.3">
      <c r="A257" s="1">
        <v>255</v>
      </c>
      <c r="B257" t="s">
        <v>259</v>
      </c>
      <c r="C257">
        <v>113625.1228621865</v>
      </c>
      <c r="D257">
        <v>0</v>
      </c>
      <c r="E257">
        <v>3406.2807155466298</v>
      </c>
    </row>
    <row r="258" spans="1:5" x14ac:dyDescent="0.3">
      <c r="A258" s="1">
        <v>256</v>
      </c>
      <c r="B258" t="s">
        <v>260</v>
      </c>
      <c r="C258">
        <v>109673.6372848</v>
      </c>
      <c r="D258">
        <v>0</v>
      </c>
      <c r="E258">
        <v>254.56940223157989</v>
      </c>
    </row>
    <row r="259" spans="1:5" x14ac:dyDescent="0.3">
      <c r="A259" s="1">
        <v>257</v>
      </c>
      <c r="B259" t="s">
        <v>261</v>
      </c>
      <c r="C259">
        <v>109569.232949838</v>
      </c>
      <c r="D259">
        <v>0</v>
      </c>
      <c r="E259">
        <v>1196.154118729753</v>
      </c>
    </row>
    <row r="260" spans="1:5" x14ac:dyDescent="0.3">
      <c r="A260" s="1">
        <v>258</v>
      </c>
      <c r="B260" t="s">
        <v>262</v>
      </c>
      <c r="C260">
        <v>94955.690426812507</v>
      </c>
      <c r="D260">
        <v>0</v>
      </c>
      <c r="E260">
        <v>-80.068405923611039</v>
      </c>
    </row>
    <row r="261" spans="1:5" x14ac:dyDescent="0.3">
      <c r="A261" s="1">
        <v>259</v>
      </c>
      <c r="B261" t="s">
        <v>263</v>
      </c>
      <c r="C261">
        <v>122292.44356389499</v>
      </c>
      <c r="D261">
        <v>0</v>
      </c>
      <c r="E261">
        <v>1592.3173974210731</v>
      </c>
    </row>
    <row r="262" spans="1:5" x14ac:dyDescent="0.3">
      <c r="A262" s="1">
        <v>260</v>
      </c>
      <c r="B262" t="s">
        <v>264</v>
      </c>
      <c r="C262">
        <v>97191.00337450199</v>
      </c>
      <c r="D262">
        <v>0</v>
      </c>
      <c r="E262">
        <v>-165.23509561752991</v>
      </c>
    </row>
    <row r="263" spans="1:5" x14ac:dyDescent="0.3">
      <c r="A263" s="1">
        <v>261</v>
      </c>
      <c r="B263" t="s">
        <v>265</v>
      </c>
      <c r="C263">
        <v>96518.403883859995</v>
      </c>
      <c r="D263">
        <v>0</v>
      </c>
      <c r="E263">
        <v>0</v>
      </c>
    </row>
    <row r="264" spans="1:5" x14ac:dyDescent="0.3">
      <c r="A264" s="1">
        <v>262</v>
      </c>
      <c r="B264" t="s">
        <v>266</v>
      </c>
      <c r="C264">
        <v>96045.591497440008</v>
      </c>
      <c r="D264">
        <v>0</v>
      </c>
      <c r="E264">
        <v>0</v>
      </c>
    </row>
    <row r="265" spans="1:5" x14ac:dyDescent="0.3">
      <c r="A265" s="1">
        <v>263</v>
      </c>
      <c r="B265" t="s">
        <v>267</v>
      </c>
      <c r="C265">
        <v>124543.58986398</v>
      </c>
      <c r="D265">
        <v>0</v>
      </c>
      <c r="E265">
        <v>876.55678085642933</v>
      </c>
    </row>
    <row r="266" spans="1:5" x14ac:dyDescent="0.3">
      <c r="A266" s="1">
        <v>264</v>
      </c>
      <c r="B266" t="s">
        <v>268</v>
      </c>
      <c r="C266">
        <v>99320.593214559995</v>
      </c>
      <c r="D266">
        <v>0</v>
      </c>
      <c r="E266">
        <v>0</v>
      </c>
    </row>
    <row r="267" spans="1:5" x14ac:dyDescent="0.3">
      <c r="A267" s="1">
        <v>265</v>
      </c>
      <c r="B267" t="s">
        <v>269</v>
      </c>
      <c r="C267">
        <v>96192.74523524</v>
      </c>
      <c r="D267">
        <v>0</v>
      </c>
      <c r="E267">
        <v>0</v>
      </c>
    </row>
    <row r="268" spans="1:5" x14ac:dyDescent="0.3">
      <c r="A268" s="1">
        <v>266</v>
      </c>
      <c r="B268" t="s">
        <v>270</v>
      </c>
      <c r="C268">
        <v>97308.066119815005</v>
      </c>
      <c r="D268">
        <v>0</v>
      </c>
      <c r="E268">
        <v>-1345.9669400924961</v>
      </c>
    </row>
    <row r="269" spans="1:5" x14ac:dyDescent="0.3">
      <c r="A269" s="1">
        <v>267</v>
      </c>
      <c r="B269" t="s">
        <v>271</v>
      </c>
      <c r="C269">
        <v>124822.41697608</v>
      </c>
      <c r="D269">
        <v>0</v>
      </c>
      <c r="E269">
        <v>954.70834523384553</v>
      </c>
    </row>
    <row r="270" spans="1:5" x14ac:dyDescent="0.3">
      <c r="A270" s="1">
        <v>268</v>
      </c>
      <c r="B270" t="s">
        <v>272</v>
      </c>
      <c r="C270">
        <v>95831.077995450498</v>
      </c>
      <c r="D270">
        <v>0</v>
      </c>
      <c r="E270">
        <v>-106.8954360140899</v>
      </c>
    </row>
    <row r="271" spans="1:5" x14ac:dyDescent="0.3">
      <c r="A271" s="1">
        <v>269</v>
      </c>
      <c r="B271" t="s">
        <v>273</v>
      </c>
      <c r="C271">
        <v>123159.6900975</v>
      </c>
      <c r="D271">
        <v>0</v>
      </c>
      <c r="E271">
        <v>1929.9741747916671</v>
      </c>
    </row>
    <row r="272" spans="1:5" x14ac:dyDescent="0.3">
      <c r="A272" s="1">
        <v>270</v>
      </c>
      <c r="B272" t="s">
        <v>274</v>
      </c>
      <c r="C272">
        <v>108219.4176990725</v>
      </c>
      <c r="D272">
        <v>0</v>
      </c>
      <c r="E272">
        <v>1174.2025284389331</v>
      </c>
    </row>
    <row r="273" spans="1:5" x14ac:dyDescent="0.3">
      <c r="A273" s="1">
        <v>271</v>
      </c>
      <c r="B273" t="s">
        <v>275</v>
      </c>
      <c r="C273">
        <v>98860.620048687488</v>
      </c>
      <c r="D273">
        <v>0</v>
      </c>
      <c r="E273">
        <v>-284.84498782812642</v>
      </c>
    </row>
    <row r="274" spans="1:5" x14ac:dyDescent="0.3">
      <c r="A274" s="1">
        <v>272</v>
      </c>
      <c r="B274" t="s">
        <v>276</v>
      </c>
      <c r="C274">
        <v>112276.32526634799</v>
      </c>
      <c r="D274">
        <v>0</v>
      </c>
      <c r="E274">
        <v>491.05301065391848</v>
      </c>
    </row>
    <row r="275" spans="1:5" x14ac:dyDescent="0.3">
      <c r="A275" s="1">
        <v>273</v>
      </c>
      <c r="B275" t="s">
        <v>277</v>
      </c>
      <c r="C275">
        <v>98240.682646025016</v>
      </c>
      <c r="D275">
        <v>0</v>
      </c>
      <c r="E275">
        <v>-439.82933849374677</v>
      </c>
    </row>
    <row r="276" spans="1:5" x14ac:dyDescent="0.3">
      <c r="A276" s="1">
        <v>274</v>
      </c>
      <c r="B276" t="s">
        <v>278</v>
      </c>
      <c r="C276">
        <v>94969.246240799999</v>
      </c>
      <c r="D276">
        <v>0</v>
      </c>
      <c r="E276">
        <v>-132.38825682105261</v>
      </c>
    </row>
    <row r="277" spans="1:5" x14ac:dyDescent="0.3">
      <c r="A277" s="1">
        <v>275</v>
      </c>
      <c r="B277" t="s">
        <v>279</v>
      </c>
      <c r="C277">
        <v>95186.741366249989</v>
      </c>
      <c r="D277">
        <v>0</v>
      </c>
      <c r="E277">
        <v>-92.562666033653969</v>
      </c>
    </row>
    <row r="278" spans="1:5" x14ac:dyDescent="0.3">
      <c r="A278" s="1">
        <v>276</v>
      </c>
      <c r="B278" t="s">
        <v>280</v>
      </c>
      <c r="C278">
        <v>97558.651846355991</v>
      </c>
      <c r="D278">
        <v>0</v>
      </c>
      <c r="E278">
        <v>-87.191005487285821</v>
      </c>
    </row>
    <row r="279" spans="1:5" x14ac:dyDescent="0.3">
      <c r="A279" s="1">
        <v>277</v>
      </c>
      <c r="B279" t="s">
        <v>281</v>
      </c>
      <c r="C279">
        <v>111768.57217859389</v>
      </c>
      <c r="D279">
        <v>0</v>
      </c>
      <c r="E279">
        <v>2942.1430446484801</v>
      </c>
    </row>
    <row r="280" spans="1:5" x14ac:dyDescent="0.3">
      <c r="A280" s="1">
        <v>278</v>
      </c>
      <c r="B280" t="s">
        <v>282</v>
      </c>
      <c r="C280">
        <v>113165.07096132499</v>
      </c>
      <c r="D280">
        <v>0</v>
      </c>
      <c r="E280">
        <v>329.12677403312551</v>
      </c>
    </row>
    <row r="281" spans="1:5" x14ac:dyDescent="0.3">
      <c r="A281" s="1">
        <v>279</v>
      </c>
      <c r="B281" t="s">
        <v>283</v>
      </c>
      <c r="C281">
        <v>119885.68954735</v>
      </c>
      <c r="D281">
        <v>0</v>
      </c>
      <c r="E281">
        <v>441.90421216333328</v>
      </c>
    </row>
    <row r="282" spans="1:5" x14ac:dyDescent="0.3">
      <c r="A282" s="1">
        <v>280</v>
      </c>
      <c r="B282" t="s">
        <v>284</v>
      </c>
      <c r="C282">
        <v>98221.972469729997</v>
      </c>
      <c r="D282">
        <v>0</v>
      </c>
      <c r="E282">
        <v>-592.67584342333328</v>
      </c>
    </row>
    <row r="283" spans="1:5" x14ac:dyDescent="0.3">
      <c r="A283" s="1">
        <v>281</v>
      </c>
      <c r="B283" t="s">
        <v>285</v>
      </c>
      <c r="C283">
        <v>98883.465354833999</v>
      </c>
      <c r="D283">
        <v>0</v>
      </c>
      <c r="E283">
        <v>-279.1336612915012</v>
      </c>
    </row>
    <row r="284" spans="1:5" x14ac:dyDescent="0.3">
      <c r="A284" s="1">
        <v>282</v>
      </c>
      <c r="B284" t="s">
        <v>286</v>
      </c>
      <c r="C284">
        <v>124837.212183015</v>
      </c>
      <c r="D284">
        <v>0</v>
      </c>
      <c r="E284">
        <v>605.7856630003663</v>
      </c>
    </row>
    <row r="285" spans="1:5" x14ac:dyDescent="0.3">
      <c r="A285" s="1">
        <v>283</v>
      </c>
      <c r="B285" t="s">
        <v>287</v>
      </c>
      <c r="C285">
        <v>112922.267693175</v>
      </c>
      <c r="D285">
        <v>0</v>
      </c>
      <c r="E285">
        <v>2584.453538635008</v>
      </c>
    </row>
    <row r="286" spans="1:5" x14ac:dyDescent="0.3">
      <c r="A286" s="1">
        <v>284</v>
      </c>
      <c r="B286" t="s">
        <v>288</v>
      </c>
      <c r="C286">
        <v>108983.58294673701</v>
      </c>
      <c r="D286">
        <v>0</v>
      </c>
      <c r="E286">
        <v>0</v>
      </c>
    </row>
    <row r="287" spans="1:5" x14ac:dyDescent="0.3">
      <c r="A287" s="1">
        <v>285</v>
      </c>
      <c r="B287" t="s">
        <v>289</v>
      </c>
      <c r="C287">
        <v>117582.735295035</v>
      </c>
      <c r="D287">
        <v>0</v>
      </c>
      <c r="E287">
        <v>390.72745100077827</v>
      </c>
    </row>
    <row r="288" spans="1:5" x14ac:dyDescent="0.3">
      <c r="A288" s="1">
        <v>286</v>
      </c>
      <c r="B288" t="s">
        <v>290</v>
      </c>
      <c r="C288">
        <v>117006.881704884</v>
      </c>
      <c r="D288">
        <v>0</v>
      </c>
      <c r="E288">
        <v>414.8019928020492</v>
      </c>
    </row>
    <row r="289" spans="1:5" x14ac:dyDescent="0.3">
      <c r="A289" s="1">
        <v>287</v>
      </c>
      <c r="B289" t="s">
        <v>291</v>
      </c>
      <c r="C289">
        <v>105982.603300872</v>
      </c>
      <c r="D289">
        <v>0</v>
      </c>
      <c r="E289">
        <v>1994.20110029066</v>
      </c>
    </row>
    <row r="290" spans="1:5" x14ac:dyDescent="0.3">
      <c r="A290" s="1">
        <v>288</v>
      </c>
      <c r="B290" t="s">
        <v>292</v>
      </c>
      <c r="C290">
        <v>97961.905227609008</v>
      </c>
      <c r="D290">
        <v>0</v>
      </c>
      <c r="E290">
        <v>-1019.047386195497</v>
      </c>
    </row>
    <row r="291" spans="1:5" x14ac:dyDescent="0.3">
      <c r="A291" s="1">
        <v>289</v>
      </c>
      <c r="B291" t="s">
        <v>293</v>
      </c>
      <c r="C291">
        <v>123576.59948270999</v>
      </c>
      <c r="D291">
        <v>0</v>
      </c>
      <c r="E291">
        <v>1684.042820193574</v>
      </c>
    </row>
    <row r="292" spans="1:5" x14ac:dyDescent="0.3">
      <c r="A292" s="1">
        <v>290</v>
      </c>
      <c r="B292" t="s">
        <v>294</v>
      </c>
      <c r="C292">
        <v>97659.43908745599</v>
      </c>
      <c r="D292">
        <v>0</v>
      </c>
      <c r="E292">
        <v>0</v>
      </c>
    </row>
    <row r="293" spans="1:5" x14ac:dyDescent="0.3">
      <c r="A293" s="1">
        <v>291</v>
      </c>
      <c r="B293" t="s">
        <v>295</v>
      </c>
      <c r="C293">
        <v>109767.54407092401</v>
      </c>
      <c r="D293">
        <v>0</v>
      </c>
      <c r="E293">
        <v>325.58480236413408</v>
      </c>
    </row>
    <row r="294" spans="1:5" x14ac:dyDescent="0.3">
      <c r="A294" s="1">
        <v>292</v>
      </c>
      <c r="B294" t="s">
        <v>296</v>
      </c>
      <c r="C294">
        <v>119242.78099584</v>
      </c>
      <c r="D294">
        <v>0</v>
      </c>
      <c r="E294">
        <v>2748.9687136914322</v>
      </c>
    </row>
    <row r="295" spans="1:5" x14ac:dyDescent="0.3">
      <c r="A295" s="1">
        <v>293</v>
      </c>
      <c r="B295" t="s">
        <v>297</v>
      </c>
      <c r="C295">
        <v>110019.426935836</v>
      </c>
      <c r="D295">
        <v>0</v>
      </c>
      <c r="E295">
        <v>10019.426935835971</v>
      </c>
    </row>
    <row r="296" spans="1:5" x14ac:dyDescent="0.3">
      <c r="A296" s="1">
        <v>294</v>
      </c>
      <c r="B296" t="s">
        <v>298</v>
      </c>
      <c r="C296">
        <v>95190.329811049989</v>
      </c>
      <c r="D296">
        <v>0</v>
      </c>
      <c r="E296">
        <v>-801.611698158335</v>
      </c>
    </row>
    <row r="297" spans="1:5" x14ac:dyDescent="0.3">
      <c r="A297" s="1">
        <v>295</v>
      </c>
      <c r="B297" t="s">
        <v>299</v>
      </c>
      <c r="C297">
        <v>97703.719019406009</v>
      </c>
      <c r="D297">
        <v>0</v>
      </c>
      <c r="E297">
        <v>-53.401883269627817</v>
      </c>
    </row>
    <row r="298" spans="1:5" x14ac:dyDescent="0.3">
      <c r="A298" s="1">
        <v>296</v>
      </c>
      <c r="B298" t="s">
        <v>300</v>
      </c>
      <c r="C298">
        <v>121535.26271675</v>
      </c>
      <c r="D298">
        <v>0</v>
      </c>
      <c r="E298">
        <v>21535.26271675</v>
      </c>
    </row>
    <row r="299" spans="1:5" x14ac:dyDescent="0.3">
      <c r="A299" s="1">
        <v>297</v>
      </c>
      <c r="B299" t="s">
        <v>301</v>
      </c>
      <c r="C299">
        <v>119440.7004768</v>
      </c>
      <c r="D299">
        <v>0</v>
      </c>
      <c r="E299">
        <v>694.31073131428718</v>
      </c>
    </row>
    <row r="300" spans="1:5" x14ac:dyDescent="0.3">
      <c r="A300" s="1">
        <v>298</v>
      </c>
      <c r="B300" t="s">
        <v>302</v>
      </c>
      <c r="C300">
        <v>124923.042738155</v>
      </c>
      <c r="D300">
        <v>0</v>
      </c>
      <c r="E300">
        <v>1780.2173384396419</v>
      </c>
    </row>
    <row r="301" spans="1:5" x14ac:dyDescent="0.3">
      <c r="A301" s="1">
        <v>299</v>
      </c>
      <c r="B301" t="s">
        <v>303</v>
      </c>
      <c r="C301">
        <v>104115.4868612</v>
      </c>
      <c r="D301">
        <v>0</v>
      </c>
      <c r="E301">
        <v>1371.828953733333</v>
      </c>
    </row>
    <row r="302" spans="1:5" x14ac:dyDescent="0.3">
      <c r="A302" s="1">
        <v>300</v>
      </c>
      <c r="B302" t="s">
        <v>304</v>
      </c>
      <c r="C302">
        <v>124901.840972957</v>
      </c>
      <c r="D302">
        <v>0</v>
      </c>
      <c r="E302">
        <v>592.90097554659565</v>
      </c>
    </row>
    <row r="303" spans="1:5" x14ac:dyDescent="0.3">
      <c r="A303" s="1">
        <v>301</v>
      </c>
      <c r="B303" t="s">
        <v>305</v>
      </c>
      <c r="C303">
        <v>97185.335574817989</v>
      </c>
      <c r="D303">
        <v>0</v>
      </c>
      <c r="E303">
        <v>-201.0474589415717</v>
      </c>
    </row>
    <row r="304" spans="1:5" x14ac:dyDescent="0.3">
      <c r="A304" s="1">
        <v>302</v>
      </c>
      <c r="B304" t="s">
        <v>306</v>
      </c>
      <c r="C304">
        <v>95751.762438454505</v>
      </c>
      <c r="D304">
        <v>0</v>
      </c>
      <c r="E304">
        <v>-472.02639572727691</v>
      </c>
    </row>
    <row r="305" spans="1:5" x14ac:dyDescent="0.3">
      <c r="A305" s="1">
        <v>303</v>
      </c>
      <c r="B305" t="s">
        <v>307</v>
      </c>
      <c r="C305">
        <v>123149.62668016</v>
      </c>
      <c r="D305">
        <v>0</v>
      </c>
      <c r="E305">
        <v>1006.505507833043</v>
      </c>
    </row>
    <row r="306" spans="1:5" x14ac:dyDescent="0.3">
      <c r="A306" s="1">
        <v>304</v>
      </c>
      <c r="B306" t="s">
        <v>308</v>
      </c>
      <c r="C306">
        <v>94952.156595399996</v>
      </c>
      <c r="D306">
        <v>0</v>
      </c>
      <c r="E306">
        <v>-504.78434046000069</v>
      </c>
    </row>
    <row r="307" spans="1:5" x14ac:dyDescent="0.3">
      <c r="A307" s="1">
        <v>305</v>
      </c>
      <c r="B307" t="s">
        <v>309</v>
      </c>
      <c r="C307">
        <v>96718.166634303008</v>
      </c>
      <c r="D307">
        <v>0</v>
      </c>
      <c r="E307">
        <v>-3281.833365696998</v>
      </c>
    </row>
    <row r="308" spans="1:5" x14ac:dyDescent="0.3">
      <c r="A308" s="1">
        <v>306</v>
      </c>
      <c r="B308" t="s">
        <v>310</v>
      </c>
      <c r="C308">
        <v>108627.36336294599</v>
      </c>
      <c r="D308">
        <v>0</v>
      </c>
      <c r="E308">
        <v>375.10275491069677</v>
      </c>
    </row>
    <row r="309" spans="1:5" x14ac:dyDescent="0.3">
      <c r="A309" s="1">
        <v>307</v>
      </c>
      <c r="B309" t="s">
        <v>311</v>
      </c>
      <c r="C309">
        <v>97435.676457306996</v>
      </c>
      <c r="D309">
        <v>0</v>
      </c>
      <c r="E309">
        <v>-284.92483807700091</v>
      </c>
    </row>
    <row r="310" spans="1:5" x14ac:dyDescent="0.3">
      <c r="A310" s="1">
        <v>308</v>
      </c>
      <c r="B310" t="s">
        <v>312</v>
      </c>
      <c r="C310">
        <v>105932.6281859</v>
      </c>
      <c r="D310">
        <v>0</v>
      </c>
      <c r="E310">
        <v>5932.6281859000273</v>
      </c>
    </row>
    <row r="311" spans="1:5" x14ac:dyDescent="0.3">
      <c r="A311" s="1">
        <v>309</v>
      </c>
      <c r="B311" t="s">
        <v>313</v>
      </c>
      <c r="C311">
        <v>124670.3041473935</v>
      </c>
      <c r="D311">
        <v>0</v>
      </c>
      <c r="E311">
        <v>1451.194361611384</v>
      </c>
    </row>
    <row r="312" spans="1:5" x14ac:dyDescent="0.3">
      <c r="A312" s="1">
        <v>310</v>
      </c>
      <c r="B312" t="s">
        <v>314</v>
      </c>
      <c r="C312">
        <v>108994.413664512</v>
      </c>
      <c r="D312">
        <v>0</v>
      </c>
      <c r="E312">
        <v>449.72068322559761</v>
      </c>
    </row>
    <row r="313" spans="1:5" x14ac:dyDescent="0.3">
      <c r="A313" s="1">
        <v>311</v>
      </c>
      <c r="B313" t="s">
        <v>315</v>
      </c>
      <c r="C313">
        <v>98828.310834979493</v>
      </c>
      <c r="D313">
        <v>0</v>
      </c>
      <c r="E313">
        <v>0</v>
      </c>
    </row>
    <row r="314" spans="1:5" x14ac:dyDescent="0.3">
      <c r="A314" s="1">
        <v>312</v>
      </c>
      <c r="B314" t="s">
        <v>316</v>
      </c>
      <c r="C314">
        <v>98867.315633397506</v>
      </c>
      <c r="D314">
        <v>0</v>
      </c>
      <c r="E314">
        <v>0</v>
      </c>
    </row>
    <row r="315" spans="1:5" x14ac:dyDescent="0.3">
      <c r="A315" s="1">
        <v>313</v>
      </c>
      <c r="B315" t="s">
        <v>317</v>
      </c>
      <c r="C315">
        <v>97534.269934641008</v>
      </c>
      <c r="D315">
        <v>0</v>
      </c>
      <c r="E315">
        <v>-2465.7300653589969</v>
      </c>
    </row>
    <row r="316" spans="1:5" x14ac:dyDescent="0.3">
      <c r="A316" s="1">
        <v>314</v>
      </c>
      <c r="B316" t="s">
        <v>318</v>
      </c>
      <c r="C316">
        <v>102551.119857693</v>
      </c>
      <c r="D316">
        <v>0</v>
      </c>
      <c r="E316">
        <v>0</v>
      </c>
    </row>
    <row r="317" spans="1:5" x14ac:dyDescent="0.3">
      <c r="A317" s="1">
        <v>315</v>
      </c>
      <c r="B317" t="s">
        <v>319</v>
      </c>
      <c r="C317">
        <v>98185.346376180009</v>
      </c>
      <c r="D317">
        <v>0</v>
      </c>
      <c r="E317">
        <v>0</v>
      </c>
    </row>
    <row r="318" spans="1:5" x14ac:dyDescent="0.3">
      <c r="A318" s="1">
        <v>316</v>
      </c>
      <c r="B318" t="s">
        <v>320</v>
      </c>
      <c r="C318">
        <v>99465.326156981988</v>
      </c>
      <c r="D318">
        <v>0</v>
      </c>
      <c r="E318">
        <v>0</v>
      </c>
    </row>
    <row r="319" spans="1:5" x14ac:dyDescent="0.3">
      <c r="A319" s="1">
        <v>317</v>
      </c>
      <c r="B319" t="s">
        <v>321</v>
      </c>
      <c r="C319">
        <v>97788.1072041765</v>
      </c>
      <c r="D319">
        <v>0</v>
      </c>
      <c r="E319">
        <v>-368.64879930391731</v>
      </c>
    </row>
    <row r="320" spans="1:5" x14ac:dyDescent="0.3">
      <c r="A320" s="1">
        <v>318</v>
      </c>
      <c r="B320" t="s">
        <v>322</v>
      </c>
      <c r="C320">
        <v>95372.265849769508</v>
      </c>
      <c r="D320">
        <v>0</v>
      </c>
      <c r="E320">
        <v>-661.10487860435603</v>
      </c>
    </row>
    <row r="321" spans="1:5" x14ac:dyDescent="0.3">
      <c r="A321" s="1">
        <v>319</v>
      </c>
      <c r="B321" t="s">
        <v>323</v>
      </c>
      <c r="C321">
        <v>123301.577244592</v>
      </c>
      <c r="D321">
        <v>0</v>
      </c>
      <c r="E321">
        <v>1013.112054112695</v>
      </c>
    </row>
    <row r="322" spans="1:5" x14ac:dyDescent="0.3">
      <c r="A322" s="1">
        <v>320</v>
      </c>
      <c r="B322" t="s">
        <v>324</v>
      </c>
      <c r="C322">
        <v>107024.68899854</v>
      </c>
      <c r="D322">
        <v>0</v>
      </c>
      <c r="E322">
        <v>305.42126080608699</v>
      </c>
    </row>
    <row r="323" spans="1:5" x14ac:dyDescent="0.3">
      <c r="A323" s="1">
        <v>321</v>
      </c>
      <c r="B323" t="s">
        <v>325</v>
      </c>
      <c r="C323">
        <v>115871.79406776</v>
      </c>
      <c r="D323">
        <v>0</v>
      </c>
      <c r="E323">
        <v>991.987129235</v>
      </c>
    </row>
    <row r="324" spans="1:5" x14ac:dyDescent="0.3">
      <c r="A324" s="1">
        <v>322</v>
      </c>
      <c r="B324" t="s">
        <v>326</v>
      </c>
      <c r="C324">
        <v>105592.614534942</v>
      </c>
      <c r="D324">
        <v>0</v>
      </c>
      <c r="E324">
        <v>372.84096899613508</v>
      </c>
    </row>
    <row r="325" spans="1:5" x14ac:dyDescent="0.3">
      <c r="A325" s="1">
        <v>323</v>
      </c>
      <c r="B325" t="s">
        <v>327</v>
      </c>
      <c r="C325">
        <v>112843.64613070599</v>
      </c>
      <c r="D325">
        <v>0</v>
      </c>
      <c r="E325">
        <v>0</v>
      </c>
    </row>
    <row r="326" spans="1:5" x14ac:dyDescent="0.3">
      <c r="A326" s="1">
        <v>324</v>
      </c>
      <c r="B326" t="s">
        <v>328</v>
      </c>
      <c r="C326">
        <v>114217.79095438799</v>
      </c>
      <c r="D326">
        <v>0</v>
      </c>
      <c r="E326">
        <v>1292.526450398906</v>
      </c>
    </row>
    <row r="327" spans="1:5" x14ac:dyDescent="0.3">
      <c r="A327" s="1">
        <v>325</v>
      </c>
      <c r="B327" t="s">
        <v>329</v>
      </c>
      <c r="C327">
        <v>96320.278582580009</v>
      </c>
      <c r="D327">
        <v>0</v>
      </c>
      <c r="E327">
        <v>-1226.573805806664</v>
      </c>
    </row>
    <row r="328" spans="1:5" x14ac:dyDescent="0.3">
      <c r="A328" s="1">
        <v>326</v>
      </c>
      <c r="B328" t="s">
        <v>330</v>
      </c>
      <c r="C328">
        <v>110154.432914508</v>
      </c>
      <c r="D328">
        <v>0</v>
      </c>
      <c r="E328">
        <v>634.65205715675268</v>
      </c>
    </row>
    <row r="329" spans="1:5" x14ac:dyDescent="0.3">
      <c r="A329" s="1">
        <v>327</v>
      </c>
      <c r="B329" t="s">
        <v>331</v>
      </c>
      <c r="C329">
        <v>109914.981464</v>
      </c>
      <c r="D329">
        <v>0</v>
      </c>
      <c r="E329">
        <v>762.69088184615384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0A9BD-74D6-489F-8191-7D9EC81BF820}">
  <dimension ref="A1:J33"/>
  <sheetViews>
    <sheetView workbookViewId="0">
      <selection activeCell="J2" sqref="J2"/>
    </sheetView>
  </sheetViews>
  <sheetFormatPr defaultRowHeight="14.4" x14ac:dyDescent="0.3"/>
  <cols>
    <col min="3" max="3" width="14.77734375" customWidth="1"/>
  </cols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G1" s="2" t="s">
        <v>332</v>
      </c>
      <c r="H1" s="2" t="s">
        <v>333</v>
      </c>
      <c r="I1" s="2" t="s">
        <v>334</v>
      </c>
      <c r="J1" s="2" t="s">
        <v>335</v>
      </c>
    </row>
    <row r="2" spans="1:10" x14ac:dyDescent="0.3">
      <c r="A2">
        <v>0</v>
      </c>
      <c r="B2" t="s">
        <v>54</v>
      </c>
      <c r="C2">
        <v>96548.626048937498</v>
      </c>
      <c r="D2">
        <v>0</v>
      </c>
      <c r="E2">
        <v>-383.48599456250003</v>
      </c>
      <c r="G2">
        <f>COUNTIF(E2:E2000,"&gt;0")</f>
        <v>15</v>
      </c>
      <c r="H2">
        <f>COUNTIF(E2:E2000,"&lt;0")</f>
        <v>10</v>
      </c>
      <c r="I2">
        <f>SUM(C2:C2000)/32</f>
        <v>106177.55796001155</v>
      </c>
      <c r="J2">
        <f>AVERAGE(E2:E2000)</f>
        <v>447.2169535615389</v>
      </c>
    </row>
    <row r="3" spans="1:10" x14ac:dyDescent="0.3">
      <c r="A3">
        <v>1</v>
      </c>
      <c r="B3" t="s">
        <v>105</v>
      </c>
      <c r="C3">
        <v>94946.474228239997</v>
      </c>
      <c r="D3">
        <v>0</v>
      </c>
      <c r="E3">
        <v>-90.241531638571203</v>
      </c>
    </row>
    <row r="4" spans="1:10" x14ac:dyDescent="0.3">
      <c r="A4">
        <v>2</v>
      </c>
      <c r="B4" t="s">
        <v>114</v>
      </c>
      <c r="C4">
        <v>94929.887154461903</v>
      </c>
      <c r="D4">
        <v>0</v>
      </c>
      <c r="E4">
        <v>-1267.5282113845001</v>
      </c>
    </row>
    <row r="5" spans="1:10" x14ac:dyDescent="0.3">
      <c r="A5">
        <v>3</v>
      </c>
      <c r="B5" t="s">
        <v>129</v>
      </c>
      <c r="C5">
        <v>106664.48681250001</v>
      </c>
      <c r="D5">
        <v>0</v>
      </c>
      <c r="E5">
        <v>476.03477232142802</v>
      </c>
    </row>
    <row r="6" spans="1:10" x14ac:dyDescent="0.3">
      <c r="A6">
        <v>4</v>
      </c>
      <c r="B6" t="s">
        <v>139</v>
      </c>
      <c r="C6">
        <v>119911.69004257199</v>
      </c>
      <c r="D6">
        <v>0</v>
      </c>
      <c r="E6">
        <v>585.63794242858796</v>
      </c>
    </row>
    <row r="7" spans="1:10" x14ac:dyDescent="0.3">
      <c r="A7">
        <v>5</v>
      </c>
      <c r="B7" t="s">
        <v>122</v>
      </c>
      <c r="C7">
        <v>94932.739096413003</v>
      </c>
      <c r="D7">
        <v>0</v>
      </c>
      <c r="E7">
        <v>-281.51449464372098</v>
      </c>
    </row>
    <row r="8" spans="1:10" x14ac:dyDescent="0.3">
      <c r="A8">
        <v>6</v>
      </c>
      <c r="B8" t="s">
        <v>144</v>
      </c>
      <c r="C8">
        <v>123089.82706159999</v>
      </c>
      <c r="D8">
        <v>0</v>
      </c>
      <c r="E8">
        <v>855.178780059259</v>
      </c>
    </row>
    <row r="9" spans="1:10" x14ac:dyDescent="0.3">
      <c r="A9">
        <v>7</v>
      </c>
      <c r="B9" t="s">
        <v>38</v>
      </c>
      <c r="C9">
        <v>99287.577298589997</v>
      </c>
      <c r="D9">
        <v>0</v>
      </c>
      <c r="E9">
        <v>0</v>
      </c>
    </row>
    <row r="10" spans="1:10" x14ac:dyDescent="0.3">
      <c r="A10">
        <v>8</v>
      </c>
      <c r="B10" t="s">
        <v>155</v>
      </c>
      <c r="C10">
        <v>124828.420084538</v>
      </c>
      <c r="D10">
        <v>0</v>
      </c>
      <c r="E10">
        <v>689.67833568163803</v>
      </c>
    </row>
    <row r="11" spans="1:10" x14ac:dyDescent="0.3">
      <c r="A11">
        <v>9</v>
      </c>
      <c r="B11" t="s">
        <v>79</v>
      </c>
      <c r="C11">
        <v>95167.582588157995</v>
      </c>
      <c r="D11">
        <v>0</v>
      </c>
      <c r="E11">
        <v>-2416.2087059209998</v>
      </c>
    </row>
    <row r="12" spans="1:10" x14ac:dyDescent="0.3">
      <c r="A12">
        <v>10</v>
      </c>
      <c r="B12" t="s">
        <v>158</v>
      </c>
      <c r="C12">
        <v>106285.184597745</v>
      </c>
      <c r="D12">
        <v>0</v>
      </c>
      <c r="E12">
        <v>6285.1845977450203</v>
      </c>
    </row>
    <row r="13" spans="1:10" x14ac:dyDescent="0.3">
      <c r="A13">
        <v>11</v>
      </c>
      <c r="B13" t="s">
        <v>179</v>
      </c>
      <c r="C13">
        <v>124819.499703929</v>
      </c>
      <c r="D13">
        <v>0</v>
      </c>
      <c r="E13">
        <v>240.966016543009</v>
      </c>
    </row>
    <row r="14" spans="1:10" x14ac:dyDescent="0.3">
      <c r="A14">
        <v>12</v>
      </c>
      <c r="B14" t="s">
        <v>192</v>
      </c>
      <c r="C14">
        <v>124535.61969560001</v>
      </c>
      <c r="D14">
        <v>0</v>
      </c>
      <c r="E14">
        <v>201.11163684918</v>
      </c>
    </row>
    <row r="15" spans="1:10" x14ac:dyDescent="0.3">
      <c r="A15">
        <v>13</v>
      </c>
      <c r="B15" t="s">
        <v>6</v>
      </c>
      <c r="C15">
        <v>97964.321881170006</v>
      </c>
      <c r="D15">
        <v>0</v>
      </c>
      <c r="E15">
        <v>-42.409960808958203</v>
      </c>
    </row>
    <row r="16" spans="1:10" x14ac:dyDescent="0.3">
      <c r="A16">
        <v>14</v>
      </c>
      <c r="B16" t="s">
        <v>183</v>
      </c>
      <c r="C16">
        <v>97786.188631785</v>
      </c>
      <c r="D16">
        <v>0</v>
      </c>
      <c r="E16">
        <v>-245.97904091277701</v>
      </c>
    </row>
    <row r="17" spans="1:5" x14ac:dyDescent="0.3">
      <c r="A17">
        <v>15</v>
      </c>
      <c r="B17" t="s">
        <v>204</v>
      </c>
      <c r="C17">
        <v>103767.10525479801</v>
      </c>
      <c r="D17">
        <v>0</v>
      </c>
      <c r="E17">
        <v>627.85087579975198</v>
      </c>
    </row>
    <row r="18" spans="1:5" x14ac:dyDescent="0.3">
      <c r="A18">
        <v>16</v>
      </c>
      <c r="B18" t="s">
        <v>208</v>
      </c>
      <c r="C18">
        <v>111826.919006526</v>
      </c>
      <c r="D18">
        <v>0</v>
      </c>
      <c r="E18">
        <v>909.76300050200405</v>
      </c>
    </row>
    <row r="19" spans="1:5" x14ac:dyDescent="0.3">
      <c r="A19">
        <v>17</v>
      </c>
      <c r="B19" t="s">
        <v>225</v>
      </c>
      <c r="C19">
        <v>112000.732413355</v>
      </c>
      <c r="D19">
        <v>0</v>
      </c>
      <c r="E19">
        <v>279.08680031059203</v>
      </c>
    </row>
    <row r="20" spans="1:5" x14ac:dyDescent="0.3">
      <c r="A20">
        <v>18</v>
      </c>
      <c r="B20" t="s">
        <v>223</v>
      </c>
      <c r="C20">
        <v>99129.093858105</v>
      </c>
      <c r="D20">
        <v>0</v>
      </c>
      <c r="E20">
        <v>0</v>
      </c>
    </row>
    <row r="21" spans="1:5" x14ac:dyDescent="0.3">
      <c r="A21">
        <v>19</v>
      </c>
      <c r="B21" t="s">
        <v>228</v>
      </c>
      <c r="C21">
        <v>121872.071966148</v>
      </c>
      <c r="D21">
        <v>0</v>
      </c>
      <c r="E21">
        <v>5468.0179915370099</v>
      </c>
    </row>
    <row r="22" spans="1:5" x14ac:dyDescent="0.3">
      <c r="A22">
        <v>20</v>
      </c>
      <c r="B22" t="s">
        <v>231</v>
      </c>
      <c r="C22">
        <v>103965.3154599</v>
      </c>
      <c r="D22">
        <v>0</v>
      </c>
      <c r="E22">
        <v>0</v>
      </c>
    </row>
    <row r="23" spans="1:5" x14ac:dyDescent="0.3">
      <c r="A23">
        <v>21</v>
      </c>
      <c r="B23" t="s">
        <v>232</v>
      </c>
      <c r="C23">
        <v>104715.07337568</v>
      </c>
      <c r="D23">
        <v>0</v>
      </c>
      <c r="E23">
        <v>943.01467513600005</v>
      </c>
    </row>
    <row r="24" spans="1:5" x14ac:dyDescent="0.3">
      <c r="A24">
        <v>22</v>
      </c>
      <c r="B24" t="s">
        <v>336</v>
      </c>
      <c r="C24">
        <v>99505.311644402507</v>
      </c>
      <c r="D24">
        <v>0</v>
      </c>
      <c r="E24">
        <v>0</v>
      </c>
    </row>
    <row r="25" spans="1:5" x14ac:dyDescent="0.3">
      <c r="A25">
        <v>23</v>
      </c>
      <c r="B25" t="s">
        <v>78</v>
      </c>
      <c r="C25">
        <v>97854.477632474998</v>
      </c>
      <c r="D25">
        <v>0</v>
      </c>
      <c r="E25">
        <v>0</v>
      </c>
    </row>
    <row r="26" spans="1:5" x14ac:dyDescent="0.3">
      <c r="A26">
        <v>24</v>
      </c>
      <c r="B26" t="s">
        <v>256</v>
      </c>
      <c r="C26">
        <v>99169.176275983904</v>
      </c>
      <c r="D26">
        <v>0</v>
      </c>
      <c r="E26">
        <v>0</v>
      </c>
    </row>
    <row r="27" spans="1:5" x14ac:dyDescent="0.3">
      <c r="A27">
        <v>25</v>
      </c>
      <c r="B27" t="s">
        <v>337</v>
      </c>
      <c r="C27">
        <v>96949.311932279903</v>
      </c>
      <c r="D27">
        <v>0</v>
      </c>
      <c r="E27">
        <v>-338.96534085777802</v>
      </c>
    </row>
    <row r="28" spans="1:5" x14ac:dyDescent="0.3">
      <c r="A28">
        <v>26</v>
      </c>
      <c r="B28" t="s">
        <v>338</v>
      </c>
      <c r="C28">
        <v>124907.471869182</v>
      </c>
      <c r="D28">
        <v>0</v>
      </c>
      <c r="E28">
        <v>518.90566394131099</v>
      </c>
    </row>
    <row r="29" spans="1:5" x14ac:dyDescent="0.3">
      <c r="A29">
        <v>27</v>
      </c>
      <c r="B29" t="s">
        <v>339</v>
      </c>
      <c r="C29">
        <v>99248.765439904499</v>
      </c>
      <c r="D29">
        <v>0</v>
      </c>
      <c r="E29">
        <v>0</v>
      </c>
    </row>
    <row r="30" spans="1:5" x14ac:dyDescent="0.3">
      <c r="A30">
        <v>28</v>
      </c>
      <c r="B30" t="s">
        <v>271</v>
      </c>
      <c r="C30">
        <v>98300.953147840002</v>
      </c>
      <c r="D30">
        <v>0</v>
      </c>
      <c r="E30">
        <v>-424.76171304000002</v>
      </c>
    </row>
    <row r="31" spans="1:5" x14ac:dyDescent="0.3">
      <c r="A31">
        <v>29</v>
      </c>
      <c r="B31" t="s">
        <v>340</v>
      </c>
      <c r="C31">
        <v>122541.869810943</v>
      </c>
      <c r="D31">
        <v>0</v>
      </c>
      <c r="E31">
        <v>834.88406707196395</v>
      </c>
    </row>
    <row r="32" spans="1:5" x14ac:dyDescent="0.3">
      <c r="A32">
        <v>30</v>
      </c>
      <c r="B32" t="s">
        <v>341</v>
      </c>
      <c r="C32">
        <v>96907.162828761997</v>
      </c>
      <c r="D32">
        <v>0</v>
      </c>
      <c r="E32">
        <v>-220.91694080271401</v>
      </c>
    </row>
    <row r="33" spans="1:5" x14ac:dyDescent="0.3">
      <c r="A33">
        <v>31</v>
      </c>
      <c r="B33" t="s">
        <v>150</v>
      </c>
      <c r="C33">
        <v>103322.917877845</v>
      </c>
      <c r="D33">
        <v>0</v>
      </c>
      <c r="E33">
        <v>1107.6392926150099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AA2F7-B606-4048-B41E-7DBAFF81D7B4}">
  <dimension ref="A1:M30"/>
  <sheetViews>
    <sheetView workbookViewId="0">
      <selection activeCell="R3" sqref="R3"/>
    </sheetView>
  </sheetViews>
  <sheetFormatPr defaultRowHeight="14.4" x14ac:dyDescent="0.3"/>
  <cols>
    <col min="11" max="11" width="10.77734375" customWidth="1"/>
    <col min="12" max="12" width="12.21875" customWidth="1"/>
  </cols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G1" s="2" t="s">
        <v>332</v>
      </c>
      <c r="H1" s="2" t="s">
        <v>333</v>
      </c>
      <c r="I1" s="2" t="s">
        <v>334</v>
      </c>
      <c r="J1" s="2" t="s">
        <v>335</v>
      </c>
      <c r="K1" s="3" t="s">
        <v>346</v>
      </c>
      <c r="L1" s="3" t="s">
        <v>347</v>
      </c>
      <c r="M1" t="s">
        <v>348</v>
      </c>
    </row>
    <row r="2" spans="1:13" x14ac:dyDescent="0.3">
      <c r="A2">
        <v>0</v>
      </c>
      <c r="B2" t="s">
        <v>54</v>
      </c>
      <c r="C2">
        <v>95600.151860049999</v>
      </c>
      <c r="D2">
        <v>0</v>
      </c>
      <c r="E2">
        <v>-488.87201554999899</v>
      </c>
      <c r="G2">
        <f>COUNTIF(E2:E2000,"&gt;0")</f>
        <v>16</v>
      </c>
      <c r="H2">
        <f>COUNTIF(E2:E2000,"&lt;0")</f>
        <v>10</v>
      </c>
      <c r="I2">
        <f>SUM(C2:C2000)/29</f>
        <v>108955.39041194794</v>
      </c>
      <c r="J2">
        <f>AVERAGE(E2:E2000)</f>
        <v>485.15566352115712</v>
      </c>
      <c r="M2" t="e">
        <f>L2/K2 *100</f>
        <v>#DIV/0!</v>
      </c>
    </row>
    <row r="3" spans="1:13" x14ac:dyDescent="0.3">
      <c r="A3">
        <v>1</v>
      </c>
      <c r="B3" t="s">
        <v>105</v>
      </c>
      <c r="C3">
        <v>94954.017430704</v>
      </c>
      <c r="D3">
        <v>0</v>
      </c>
      <c r="E3">
        <v>-67.279767590613204</v>
      </c>
    </row>
    <row r="4" spans="1:13" x14ac:dyDescent="0.3">
      <c r="A4">
        <v>2</v>
      </c>
      <c r="B4" t="s">
        <v>114</v>
      </c>
      <c r="C4">
        <v>94952.168581853999</v>
      </c>
      <c r="D4">
        <v>0</v>
      </c>
      <c r="E4">
        <v>-1261.9578545365</v>
      </c>
    </row>
    <row r="5" spans="1:13" x14ac:dyDescent="0.3">
      <c r="A5">
        <v>3</v>
      </c>
      <c r="B5" t="s">
        <v>129</v>
      </c>
      <c r="C5">
        <v>113787.41550375</v>
      </c>
      <c r="D5">
        <v>0</v>
      </c>
      <c r="E5">
        <v>919.16103358333305</v>
      </c>
    </row>
    <row r="6" spans="1:13" x14ac:dyDescent="0.3">
      <c r="A6">
        <v>4</v>
      </c>
      <c r="B6" t="s">
        <v>139</v>
      </c>
      <c r="C6">
        <v>124790.42452795801</v>
      </c>
      <c r="D6">
        <v>0</v>
      </c>
      <c r="E6">
        <v>229.54096785146299</v>
      </c>
    </row>
    <row r="7" spans="1:13" x14ac:dyDescent="0.3">
      <c r="A7">
        <v>5</v>
      </c>
      <c r="B7" t="s">
        <v>122</v>
      </c>
      <c r="C7">
        <v>94972.736946884994</v>
      </c>
      <c r="D7">
        <v>0</v>
      </c>
      <c r="E7">
        <v>-157.10197040984301</v>
      </c>
    </row>
    <row r="8" spans="1:13" x14ac:dyDescent="0.3">
      <c r="A8">
        <v>6</v>
      </c>
      <c r="B8" t="s">
        <v>144</v>
      </c>
      <c r="C8">
        <v>94956.427597799993</v>
      </c>
      <c r="D8">
        <v>0</v>
      </c>
      <c r="E8">
        <v>-123.013961029268</v>
      </c>
    </row>
    <row r="9" spans="1:13" x14ac:dyDescent="0.3">
      <c r="A9">
        <v>7</v>
      </c>
      <c r="B9" t="s">
        <v>38</v>
      </c>
      <c r="C9">
        <v>94952.528126002493</v>
      </c>
      <c r="D9">
        <v>0</v>
      </c>
      <c r="E9">
        <v>-81.410836677378995</v>
      </c>
    </row>
    <row r="10" spans="1:13" x14ac:dyDescent="0.3">
      <c r="A10">
        <v>8</v>
      </c>
      <c r="B10" t="s">
        <v>155</v>
      </c>
      <c r="C10">
        <v>124854.44800462401</v>
      </c>
      <c r="D10">
        <v>0</v>
      </c>
      <c r="E10">
        <v>621.361200115624</v>
      </c>
    </row>
    <row r="11" spans="1:13" x14ac:dyDescent="0.3">
      <c r="A11">
        <v>9</v>
      </c>
      <c r="B11" t="s">
        <v>79</v>
      </c>
      <c r="C11">
        <v>94952.3889073225</v>
      </c>
      <c r="D11">
        <v>0</v>
      </c>
      <c r="E11">
        <v>-252.38055463387499</v>
      </c>
    </row>
    <row r="12" spans="1:13" x14ac:dyDescent="0.3">
      <c r="A12">
        <v>10</v>
      </c>
      <c r="B12" t="s">
        <v>158</v>
      </c>
      <c r="C12">
        <v>114792.21080099999</v>
      </c>
      <c r="D12">
        <v>0</v>
      </c>
      <c r="E12">
        <v>105.658648578571</v>
      </c>
    </row>
    <row r="13" spans="1:13" x14ac:dyDescent="0.3">
      <c r="A13">
        <v>11</v>
      </c>
      <c r="B13" t="s">
        <v>179</v>
      </c>
      <c r="C13">
        <v>124625.0833437</v>
      </c>
      <c r="D13">
        <v>0</v>
      </c>
      <c r="E13">
        <v>239.07847906504799</v>
      </c>
    </row>
    <row r="14" spans="1:13" x14ac:dyDescent="0.3">
      <c r="A14">
        <v>12</v>
      </c>
      <c r="B14" t="s">
        <v>192</v>
      </c>
      <c r="C14">
        <v>124877.025973597</v>
      </c>
      <c r="D14">
        <v>0</v>
      </c>
      <c r="E14">
        <v>199.01620778878001</v>
      </c>
    </row>
    <row r="15" spans="1:13" x14ac:dyDescent="0.3">
      <c r="A15">
        <v>13</v>
      </c>
      <c r="B15" t="s">
        <v>6</v>
      </c>
      <c r="C15">
        <v>97169.552995620004</v>
      </c>
      <c r="D15">
        <v>0</v>
      </c>
      <c r="E15">
        <v>-57.764224579183598</v>
      </c>
    </row>
    <row r="16" spans="1:13" x14ac:dyDescent="0.3">
      <c r="A16">
        <v>14</v>
      </c>
      <c r="B16" t="s">
        <v>183</v>
      </c>
      <c r="C16">
        <v>96274.278287053501</v>
      </c>
      <c r="D16">
        <v>0</v>
      </c>
      <c r="E16">
        <v>-372.57217129464999</v>
      </c>
    </row>
    <row r="17" spans="1:5" x14ac:dyDescent="0.3">
      <c r="A17">
        <v>15</v>
      </c>
      <c r="B17" t="s">
        <v>204</v>
      </c>
      <c r="C17">
        <v>107888.906657468</v>
      </c>
      <c r="D17">
        <v>0</v>
      </c>
      <c r="E17">
        <v>303.419486825712</v>
      </c>
    </row>
    <row r="18" spans="1:5" x14ac:dyDescent="0.3">
      <c r="A18">
        <v>16</v>
      </c>
      <c r="B18" t="s">
        <v>208</v>
      </c>
      <c r="C18">
        <v>111826.919006526</v>
      </c>
      <c r="D18">
        <v>0</v>
      </c>
      <c r="E18">
        <v>909.76300050200405</v>
      </c>
    </row>
    <row r="19" spans="1:5" x14ac:dyDescent="0.3">
      <c r="A19">
        <v>17</v>
      </c>
      <c r="B19" t="s">
        <v>225</v>
      </c>
      <c r="C19">
        <v>118495.34381583999</v>
      </c>
      <c r="D19">
        <v>0</v>
      </c>
      <c r="E19">
        <v>385.31966283000997</v>
      </c>
    </row>
    <row r="20" spans="1:5" x14ac:dyDescent="0.3">
      <c r="A20">
        <v>18</v>
      </c>
      <c r="B20" t="s">
        <v>223</v>
      </c>
      <c r="C20">
        <v>97853.714731387503</v>
      </c>
      <c r="D20">
        <v>0</v>
      </c>
      <c r="E20">
        <v>0</v>
      </c>
    </row>
    <row r="21" spans="1:5" x14ac:dyDescent="0.3">
      <c r="A21">
        <v>19</v>
      </c>
      <c r="B21" t="s">
        <v>228</v>
      </c>
      <c r="C21">
        <v>124865.32765366</v>
      </c>
      <c r="D21">
        <v>0</v>
      </c>
      <c r="E21">
        <v>6216.3319134151297</v>
      </c>
    </row>
    <row r="22" spans="1:5" x14ac:dyDescent="0.3">
      <c r="A22">
        <v>20</v>
      </c>
      <c r="B22" t="s">
        <v>231</v>
      </c>
      <c r="C22">
        <v>124763.75105789999</v>
      </c>
      <c r="D22">
        <v>0</v>
      </c>
      <c r="E22">
        <v>2063.6459214916599</v>
      </c>
    </row>
    <row r="23" spans="1:5" x14ac:dyDescent="0.3">
      <c r="A23">
        <v>21</v>
      </c>
      <c r="B23" t="s">
        <v>232</v>
      </c>
      <c r="C23">
        <v>121030.328988479</v>
      </c>
      <c r="D23">
        <v>0</v>
      </c>
      <c r="E23">
        <v>525.75822471199899</v>
      </c>
    </row>
    <row r="24" spans="1:5" x14ac:dyDescent="0.3">
      <c r="A24">
        <v>22</v>
      </c>
      <c r="B24" t="s">
        <v>336</v>
      </c>
      <c r="C24">
        <v>106905.659663627</v>
      </c>
      <c r="D24">
        <v>0</v>
      </c>
      <c r="E24">
        <v>2301.8865545425001</v>
      </c>
    </row>
    <row r="25" spans="1:5" x14ac:dyDescent="0.3">
      <c r="A25">
        <v>23</v>
      </c>
      <c r="B25" t="s">
        <v>256</v>
      </c>
      <c r="C25">
        <v>99009.022847725995</v>
      </c>
      <c r="D25">
        <v>0</v>
      </c>
      <c r="E25">
        <v>0</v>
      </c>
    </row>
    <row r="26" spans="1:5" x14ac:dyDescent="0.3">
      <c r="A26">
        <v>24</v>
      </c>
      <c r="B26" t="s">
        <v>337</v>
      </c>
      <c r="C26">
        <v>116711.565177</v>
      </c>
      <c r="D26">
        <v>0</v>
      </c>
      <c r="E26">
        <v>726.58979030434705</v>
      </c>
    </row>
    <row r="27" spans="1:5" x14ac:dyDescent="0.3">
      <c r="A27">
        <v>25</v>
      </c>
      <c r="B27" t="s">
        <v>338</v>
      </c>
      <c r="C27">
        <v>124825.49350492</v>
      </c>
      <c r="D27">
        <v>0</v>
      </c>
      <c r="E27">
        <v>496.50987009841901</v>
      </c>
    </row>
    <row r="28" spans="1:5" x14ac:dyDescent="0.3">
      <c r="A28">
        <v>26</v>
      </c>
      <c r="B28" t="s">
        <v>339</v>
      </c>
      <c r="C28">
        <v>99248.765439904499</v>
      </c>
      <c r="D28">
        <v>0</v>
      </c>
      <c r="E28">
        <v>0</v>
      </c>
    </row>
    <row r="29" spans="1:5" x14ac:dyDescent="0.3">
      <c r="A29">
        <v>27</v>
      </c>
      <c r="B29" t="s">
        <v>271</v>
      </c>
      <c r="C29">
        <v>124822.416976079</v>
      </c>
      <c r="D29">
        <v>0</v>
      </c>
      <c r="E29">
        <v>954.70834523384497</v>
      </c>
    </row>
    <row r="30" spans="1:5" x14ac:dyDescent="0.3">
      <c r="A30">
        <v>28</v>
      </c>
      <c r="B30" t="s">
        <v>341</v>
      </c>
      <c r="C30">
        <v>94948.247538052005</v>
      </c>
      <c r="D30">
        <v>0</v>
      </c>
      <c r="E30">
        <v>-265.88170852357899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1940-4DCE-4957-9C32-68AAE3A1F743}">
  <dimension ref="A1:M29"/>
  <sheetViews>
    <sheetView workbookViewId="0">
      <selection activeCell="G1" sqref="G1:M2"/>
    </sheetView>
  </sheetViews>
  <sheetFormatPr defaultRowHeight="14.4" x14ac:dyDescent="0.3"/>
  <cols>
    <col min="11" max="11" width="12.21875" customWidth="1"/>
    <col min="12" max="12" width="15.21875" customWidth="1"/>
  </cols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G1" s="2" t="s">
        <v>332</v>
      </c>
      <c r="H1" s="2" t="s">
        <v>333</v>
      </c>
      <c r="I1" s="2" t="s">
        <v>334</v>
      </c>
      <c r="J1" s="2" t="s">
        <v>335</v>
      </c>
      <c r="K1" s="3" t="s">
        <v>346</v>
      </c>
      <c r="L1" s="3" t="s">
        <v>347</v>
      </c>
      <c r="M1" t="s">
        <v>348</v>
      </c>
    </row>
    <row r="2" spans="1:13" x14ac:dyDescent="0.3">
      <c r="A2">
        <v>0</v>
      </c>
      <c r="B2" t="s">
        <v>54</v>
      </c>
      <c r="C2">
        <v>94935.859860652505</v>
      </c>
      <c r="D2">
        <v>0</v>
      </c>
      <c r="E2">
        <v>-562.68223770527698</v>
      </c>
      <c r="G2">
        <f>COUNTIF(E2:E2000,"&gt;0")</f>
        <v>16</v>
      </c>
      <c r="H2">
        <f>COUNTIF(E2:E2000,"&lt;0")</f>
        <v>12</v>
      </c>
      <c r="I2">
        <f>SUM(C2:C2000)/28</f>
        <v>112023.41716056722</v>
      </c>
      <c r="J2">
        <f>AVERAGE(E2:E2000)</f>
        <v>664.09299474171837</v>
      </c>
      <c r="K2">
        <v>28</v>
      </c>
      <c r="L2">
        <v>16</v>
      </c>
      <c r="M2">
        <f>L2/K2 *100</f>
        <v>57.142857142857139</v>
      </c>
    </row>
    <row r="3" spans="1:13" x14ac:dyDescent="0.3">
      <c r="A3">
        <v>1</v>
      </c>
      <c r="B3" t="s">
        <v>105</v>
      </c>
      <c r="C3">
        <v>124857.606225767</v>
      </c>
      <c r="D3">
        <v>0</v>
      </c>
      <c r="E3">
        <v>1775.5433018405599</v>
      </c>
    </row>
    <row r="4" spans="1:13" x14ac:dyDescent="0.3">
      <c r="A4">
        <v>2</v>
      </c>
      <c r="B4" t="s">
        <v>114</v>
      </c>
      <c r="C4">
        <v>94933.462859075502</v>
      </c>
      <c r="D4">
        <v>0</v>
      </c>
      <c r="E4">
        <v>-1266.63428523112</v>
      </c>
    </row>
    <row r="5" spans="1:13" x14ac:dyDescent="0.3">
      <c r="A5">
        <v>3</v>
      </c>
      <c r="B5" t="s">
        <v>129</v>
      </c>
      <c r="C5">
        <v>94932.216565875002</v>
      </c>
      <c r="D5">
        <v>0</v>
      </c>
      <c r="E5">
        <v>-101.3556686825</v>
      </c>
    </row>
    <row r="6" spans="1:13" x14ac:dyDescent="0.3">
      <c r="A6">
        <v>4</v>
      </c>
      <c r="B6" t="s">
        <v>139</v>
      </c>
      <c r="C6">
        <v>124878.860972694</v>
      </c>
      <c r="D6">
        <v>0</v>
      </c>
      <c r="E6">
        <v>592.35383268319094</v>
      </c>
    </row>
    <row r="7" spans="1:13" x14ac:dyDescent="0.3">
      <c r="A7">
        <v>5</v>
      </c>
      <c r="B7" t="s">
        <v>122</v>
      </c>
      <c r="C7">
        <v>94934.6370474</v>
      </c>
      <c r="D7">
        <v>0</v>
      </c>
      <c r="E7">
        <v>-844.22715876666598</v>
      </c>
    </row>
    <row r="8" spans="1:13" x14ac:dyDescent="0.3">
      <c r="A8">
        <v>6</v>
      </c>
      <c r="B8" t="s">
        <v>144</v>
      </c>
      <c r="C8">
        <v>124714.65166015</v>
      </c>
      <c r="D8">
        <v>0</v>
      </c>
      <c r="E8">
        <v>915.35746889444397</v>
      </c>
    </row>
    <row r="9" spans="1:13" x14ac:dyDescent="0.3">
      <c r="A9">
        <v>7</v>
      </c>
      <c r="B9" t="s">
        <v>38</v>
      </c>
      <c r="C9">
        <v>94922.846538450001</v>
      </c>
      <c r="D9">
        <v>0</v>
      </c>
      <c r="E9">
        <v>-2538.5767307750002</v>
      </c>
    </row>
    <row r="10" spans="1:13" x14ac:dyDescent="0.3">
      <c r="A10">
        <v>8</v>
      </c>
      <c r="B10" t="s">
        <v>155</v>
      </c>
      <c r="C10">
        <v>94942.150875635998</v>
      </c>
      <c r="D10">
        <v>0</v>
      </c>
      <c r="E10">
        <v>-1011.56982487279</v>
      </c>
    </row>
    <row r="11" spans="1:13" x14ac:dyDescent="0.3">
      <c r="A11">
        <v>9</v>
      </c>
      <c r="B11" t="s">
        <v>79</v>
      </c>
      <c r="C11">
        <v>94933.1121299675</v>
      </c>
      <c r="D11">
        <v>0</v>
      </c>
      <c r="E11">
        <v>-316.68049187703099</v>
      </c>
    </row>
    <row r="12" spans="1:13" x14ac:dyDescent="0.3">
      <c r="A12">
        <v>10</v>
      </c>
      <c r="B12" t="s">
        <v>158</v>
      </c>
      <c r="C12">
        <v>124749.70525879999</v>
      </c>
      <c r="D12">
        <v>0</v>
      </c>
      <c r="E12">
        <v>160.71237181038899</v>
      </c>
    </row>
    <row r="13" spans="1:13" x14ac:dyDescent="0.3">
      <c r="A13">
        <v>11</v>
      </c>
      <c r="B13" t="s">
        <v>179</v>
      </c>
      <c r="C13">
        <v>124910.402162</v>
      </c>
      <c r="D13">
        <v>0</v>
      </c>
      <c r="E13">
        <v>4982.0804324000001</v>
      </c>
    </row>
    <row r="14" spans="1:13" x14ac:dyDescent="0.3">
      <c r="A14">
        <v>12</v>
      </c>
      <c r="B14" t="s">
        <v>192</v>
      </c>
      <c r="C14">
        <v>94948.642452379994</v>
      </c>
      <c r="D14">
        <v>0</v>
      </c>
      <c r="E14">
        <v>-1010.271509524</v>
      </c>
    </row>
    <row r="15" spans="1:13" x14ac:dyDescent="0.3">
      <c r="A15">
        <v>13</v>
      </c>
      <c r="B15" t="s">
        <v>204</v>
      </c>
      <c r="C15">
        <v>124894.213942027</v>
      </c>
      <c r="D15">
        <v>0</v>
      </c>
      <c r="E15">
        <v>436.740595474158</v>
      </c>
    </row>
    <row r="16" spans="1:13" x14ac:dyDescent="0.3">
      <c r="A16">
        <v>14</v>
      </c>
      <c r="B16" t="s">
        <v>342</v>
      </c>
      <c r="C16">
        <v>94989.536461071999</v>
      </c>
      <c r="D16">
        <v>0</v>
      </c>
      <c r="E16">
        <v>-238.593501853714</v>
      </c>
    </row>
    <row r="17" spans="1:5" x14ac:dyDescent="0.3">
      <c r="A17">
        <v>15</v>
      </c>
      <c r="B17" t="s">
        <v>196</v>
      </c>
      <c r="C17">
        <v>124892.537379298</v>
      </c>
      <c r="D17">
        <v>0</v>
      </c>
      <c r="E17">
        <v>395.119640941238</v>
      </c>
    </row>
    <row r="18" spans="1:5" x14ac:dyDescent="0.3">
      <c r="A18">
        <v>16</v>
      </c>
      <c r="B18" t="s">
        <v>208</v>
      </c>
      <c r="C18">
        <v>124794.55313444699</v>
      </c>
      <c r="D18">
        <v>0</v>
      </c>
      <c r="E18">
        <v>354.20790192067102</v>
      </c>
    </row>
    <row r="19" spans="1:5" x14ac:dyDescent="0.3">
      <c r="A19">
        <v>17</v>
      </c>
      <c r="B19" t="s">
        <v>225</v>
      </c>
      <c r="C19">
        <v>124794.773442509</v>
      </c>
      <c r="D19">
        <v>0</v>
      </c>
      <c r="E19">
        <v>495.89546885019899</v>
      </c>
    </row>
    <row r="20" spans="1:5" x14ac:dyDescent="0.3">
      <c r="A20">
        <v>18</v>
      </c>
      <c r="B20" t="s">
        <v>228</v>
      </c>
      <c r="C20">
        <v>124893.918895518</v>
      </c>
      <c r="D20">
        <v>0</v>
      </c>
      <c r="E20">
        <v>6223.4797238794999</v>
      </c>
    </row>
    <row r="21" spans="1:5" x14ac:dyDescent="0.3">
      <c r="A21">
        <v>19</v>
      </c>
      <c r="B21" t="s">
        <v>231</v>
      </c>
      <c r="C21">
        <v>124864.462285649</v>
      </c>
      <c r="D21">
        <v>0</v>
      </c>
      <c r="E21">
        <v>3108.0577857062499</v>
      </c>
    </row>
    <row r="22" spans="1:5" x14ac:dyDescent="0.3">
      <c r="A22">
        <v>20</v>
      </c>
      <c r="B22" t="s">
        <v>232</v>
      </c>
      <c r="C22">
        <v>124787.87199616501</v>
      </c>
      <c r="D22">
        <v>0</v>
      </c>
      <c r="E22">
        <v>450.688581748454</v>
      </c>
    </row>
    <row r="23" spans="1:5" x14ac:dyDescent="0.3">
      <c r="A23">
        <v>21</v>
      </c>
      <c r="B23" t="s">
        <v>336</v>
      </c>
      <c r="C23">
        <v>124843.164620182</v>
      </c>
      <c r="D23">
        <v>0</v>
      </c>
      <c r="E23">
        <v>4140.5274366970798</v>
      </c>
    </row>
    <row r="24" spans="1:5" x14ac:dyDescent="0.3">
      <c r="A24">
        <v>22</v>
      </c>
      <c r="B24" t="s">
        <v>256</v>
      </c>
      <c r="C24">
        <v>124879.114609014</v>
      </c>
      <c r="D24">
        <v>0</v>
      </c>
      <c r="E24">
        <v>1554.9446630633699</v>
      </c>
    </row>
    <row r="25" spans="1:5" x14ac:dyDescent="0.3">
      <c r="A25">
        <v>23</v>
      </c>
      <c r="B25" t="s">
        <v>338</v>
      </c>
      <c r="C25">
        <v>124879.56685423299</v>
      </c>
      <c r="D25">
        <v>0</v>
      </c>
      <c r="E25">
        <v>518.32430946320699</v>
      </c>
    </row>
    <row r="26" spans="1:5" x14ac:dyDescent="0.3">
      <c r="A26">
        <v>24</v>
      </c>
      <c r="B26" t="s">
        <v>339</v>
      </c>
      <c r="C26">
        <v>94934.961381200003</v>
      </c>
      <c r="D26">
        <v>0</v>
      </c>
      <c r="E26">
        <v>-140.695517188888</v>
      </c>
    </row>
    <row r="27" spans="1:5" x14ac:dyDescent="0.3">
      <c r="A27">
        <v>25</v>
      </c>
      <c r="B27" t="s">
        <v>271</v>
      </c>
      <c r="C27">
        <v>124753.169167938</v>
      </c>
      <c r="D27">
        <v>0</v>
      </c>
      <c r="E27">
        <v>1178.72234133038</v>
      </c>
    </row>
    <row r="28" spans="1:5" x14ac:dyDescent="0.3">
      <c r="A28">
        <v>26</v>
      </c>
      <c r="B28" t="s">
        <v>341</v>
      </c>
      <c r="C28">
        <v>94929.937795000005</v>
      </c>
      <c r="D28">
        <v>0</v>
      </c>
      <c r="E28">
        <v>-266.845379210526</v>
      </c>
    </row>
    <row r="29" spans="1:5" x14ac:dyDescent="0.3">
      <c r="A29">
        <v>27</v>
      </c>
      <c r="B29" t="s">
        <v>343</v>
      </c>
      <c r="C29">
        <v>94929.743922783004</v>
      </c>
      <c r="D29">
        <v>0</v>
      </c>
      <c r="E29">
        <v>-390.01969824746101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BF0A-ECB3-46CF-986B-0C9EEA7B892F}">
  <dimension ref="A1:M32"/>
  <sheetViews>
    <sheetView workbookViewId="0">
      <selection activeCell="G2" sqref="G2"/>
    </sheetView>
  </sheetViews>
  <sheetFormatPr defaultRowHeight="14.4" x14ac:dyDescent="0.3"/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G1" s="2" t="s">
        <v>332</v>
      </c>
      <c r="H1" s="2" t="s">
        <v>333</v>
      </c>
      <c r="I1" s="2" t="s">
        <v>334</v>
      </c>
      <c r="J1" s="2" t="s">
        <v>335</v>
      </c>
      <c r="K1" s="3" t="s">
        <v>346</v>
      </c>
      <c r="L1" s="3" t="s">
        <v>347</v>
      </c>
      <c r="M1" t="s">
        <v>348</v>
      </c>
    </row>
    <row r="2" spans="1:13" x14ac:dyDescent="0.3">
      <c r="A2">
        <v>0</v>
      </c>
      <c r="B2" t="s">
        <v>54</v>
      </c>
      <c r="C2">
        <v>94935.859860652505</v>
      </c>
      <c r="D2">
        <v>0</v>
      </c>
      <c r="E2">
        <v>-562.68223770527698</v>
      </c>
      <c r="G2">
        <f>COUNTIF(E2:E2000,"&gt;0")</f>
        <v>20</v>
      </c>
      <c r="H2">
        <f>COUNTIF(E2:E2000,"&lt;0")</f>
        <v>11</v>
      </c>
      <c r="I2">
        <f>SUM(C2:C2000)/31</f>
        <v>111004.64466870118</v>
      </c>
      <c r="J2">
        <f>AVERAGE(E2:E2000)</f>
        <v>619.2072636162593</v>
      </c>
      <c r="K2">
        <v>31</v>
      </c>
      <c r="L2">
        <v>20</v>
      </c>
      <c r="M2">
        <f>L2/K2 *100</f>
        <v>64.516129032258064</v>
      </c>
    </row>
    <row r="3" spans="1:13" x14ac:dyDescent="0.3">
      <c r="A3">
        <v>1</v>
      </c>
      <c r="B3" t="s">
        <v>105</v>
      </c>
      <c r="C3">
        <v>119869.456752383</v>
      </c>
      <c r="D3">
        <v>0</v>
      </c>
      <c r="E3">
        <v>1528.4197501833801</v>
      </c>
    </row>
    <row r="4" spans="1:13" x14ac:dyDescent="0.3">
      <c r="A4">
        <v>2</v>
      </c>
      <c r="B4" t="s">
        <v>114</v>
      </c>
      <c r="C4">
        <v>94933.462859075502</v>
      </c>
      <c r="D4">
        <v>0</v>
      </c>
      <c r="E4">
        <v>-1266.63428523112</v>
      </c>
    </row>
    <row r="5" spans="1:13" x14ac:dyDescent="0.3">
      <c r="A5">
        <v>3</v>
      </c>
      <c r="B5" t="s">
        <v>129</v>
      </c>
      <c r="C5">
        <v>94932.216565875002</v>
      </c>
      <c r="D5">
        <v>0</v>
      </c>
      <c r="E5">
        <v>-101.3556686825</v>
      </c>
    </row>
    <row r="6" spans="1:13" x14ac:dyDescent="0.3">
      <c r="A6">
        <v>4</v>
      </c>
      <c r="B6" t="s">
        <v>139</v>
      </c>
      <c r="C6">
        <v>119886.512720292</v>
      </c>
      <c r="D6">
        <v>0</v>
      </c>
      <c r="E6">
        <v>584.89743294976495</v>
      </c>
    </row>
    <row r="7" spans="1:13" x14ac:dyDescent="0.3">
      <c r="A7">
        <v>5</v>
      </c>
      <c r="B7" t="s">
        <v>122</v>
      </c>
      <c r="C7">
        <v>94934.6370474</v>
      </c>
      <c r="D7">
        <v>0</v>
      </c>
      <c r="E7">
        <v>-844.22715876666598</v>
      </c>
    </row>
    <row r="8" spans="1:13" x14ac:dyDescent="0.3">
      <c r="A8">
        <v>6</v>
      </c>
      <c r="B8" t="s">
        <v>144</v>
      </c>
      <c r="C8">
        <v>119755.09387246</v>
      </c>
      <c r="D8">
        <v>0</v>
      </c>
      <c r="E8">
        <v>731.67014342444395</v>
      </c>
    </row>
    <row r="9" spans="1:13" x14ac:dyDescent="0.3">
      <c r="A9">
        <v>7</v>
      </c>
      <c r="B9" t="s">
        <v>38</v>
      </c>
      <c r="C9">
        <v>94922.846538450001</v>
      </c>
      <c r="D9">
        <v>0</v>
      </c>
      <c r="E9">
        <v>-2538.5767307750002</v>
      </c>
    </row>
    <row r="10" spans="1:13" x14ac:dyDescent="0.3">
      <c r="A10">
        <v>8</v>
      </c>
      <c r="B10" t="s">
        <v>155</v>
      </c>
      <c r="C10">
        <v>94942.150875635998</v>
      </c>
      <c r="D10">
        <v>0</v>
      </c>
      <c r="E10">
        <v>-1011.56982487279</v>
      </c>
    </row>
    <row r="11" spans="1:13" x14ac:dyDescent="0.3">
      <c r="A11">
        <v>9</v>
      </c>
      <c r="B11" t="s">
        <v>79</v>
      </c>
      <c r="C11">
        <v>119854.61509305501</v>
      </c>
      <c r="D11">
        <v>0</v>
      </c>
      <c r="E11">
        <v>2836.3735847221401</v>
      </c>
    </row>
    <row r="12" spans="1:13" x14ac:dyDescent="0.3">
      <c r="A12">
        <v>10</v>
      </c>
      <c r="B12" t="s">
        <v>158</v>
      </c>
      <c r="C12">
        <v>119783.14950607999</v>
      </c>
      <c r="D12">
        <v>0</v>
      </c>
      <c r="E12">
        <v>129.301630758692</v>
      </c>
    </row>
    <row r="13" spans="1:13" x14ac:dyDescent="0.3">
      <c r="A13">
        <v>11</v>
      </c>
      <c r="B13" t="s">
        <v>179</v>
      </c>
      <c r="C13">
        <v>119911.855712</v>
      </c>
      <c r="D13">
        <v>0</v>
      </c>
      <c r="E13">
        <v>3982.3711423999998</v>
      </c>
    </row>
    <row r="14" spans="1:13" x14ac:dyDescent="0.3">
      <c r="A14">
        <v>12</v>
      </c>
      <c r="B14" t="s">
        <v>192</v>
      </c>
      <c r="C14">
        <v>94948.642452379994</v>
      </c>
      <c r="D14">
        <v>0</v>
      </c>
      <c r="E14">
        <v>-1010.271509524</v>
      </c>
    </row>
    <row r="15" spans="1:13" x14ac:dyDescent="0.3">
      <c r="A15">
        <v>13</v>
      </c>
      <c r="B15" t="s">
        <v>204</v>
      </c>
      <c r="C15">
        <v>119898.766590826</v>
      </c>
      <c r="D15">
        <v>0</v>
      </c>
      <c r="E15">
        <v>361.79575619683601</v>
      </c>
    </row>
    <row r="16" spans="1:13" x14ac:dyDescent="0.3">
      <c r="A16">
        <v>14</v>
      </c>
      <c r="B16" t="s">
        <v>342</v>
      </c>
      <c r="C16">
        <v>94989.536461071999</v>
      </c>
      <c r="D16">
        <v>0</v>
      </c>
      <c r="E16">
        <v>-238.593501853714</v>
      </c>
    </row>
    <row r="17" spans="1:5" x14ac:dyDescent="0.3">
      <c r="A17">
        <v>15</v>
      </c>
      <c r="B17" t="s">
        <v>196</v>
      </c>
      <c r="C17">
        <v>119897.38994088399</v>
      </c>
      <c r="D17">
        <v>0</v>
      </c>
      <c r="E17">
        <v>349.07701650673698</v>
      </c>
    </row>
    <row r="18" spans="1:5" x14ac:dyDescent="0.3">
      <c r="A18">
        <v>16</v>
      </c>
      <c r="B18" t="s">
        <v>208</v>
      </c>
      <c r="C18">
        <v>119819.099969046</v>
      </c>
      <c r="D18">
        <v>0</v>
      </c>
      <c r="E18">
        <v>347.70350822887701</v>
      </c>
    </row>
    <row r="19" spans="1:5" x14ac:dyDescent="0.3">
      <c r="A19">
        <v>17</v>
      </c>
      <c r="B19" t="s">
        <v>225</v>
      </c>
      <c r="C19">
        <v>119819.22030618</v>
      </c>
      <c r="D19">
        <v>0</v>
      </c>
      <c r="E19">
        <v>412.90042304541601</v>
      </c>
    </row>
    <row r="20" spans="1:5" x14ac:dyDescent="0.3">
      <c r="A20">
        <v>18</v>
      </c>
      <c r="B20" t="s">
        <v>223</v>
      </c>
      <c r="C20">
        <v>119854.239804863</v>
      </c>
      <c r="D20">
        <v>0</v>
      </c>
      <c r="E20">
        <v>223.081346122067</v>
      </c>
    </row>
    <row r="21" spans="1:5" x14ac:dyDescent="0.3">
      <c r="A21">
        <v>19</v>
      </c>
      <c r="B21" t="s">
        <v>228</v>
      </c>
      <c r="C21">
        <v>119898.771457104</v>
      </c>
      <c r="D21">
        <v>0</v>
      </c>
      <c r="E21">
        <v>4974.6928642760004</v>
      </c>
    </row>
    <row r="22" spans="1:5" x14ac:dyDescent="0.3">
      <c r="A22">
        <v>20</v>
      </c>
      <c r="B22" t="s">
        <v>231</v>
      </c>
      <c r="C22">
        <v>119874.91321925999</v>
      </c>
      <c r="D22">
        <v>0</v>
      </c>
      <c r="E22">
        <v>2484.3641524075001</v>
      </c>
    </row>
    <row r="23" spans="1:5" x14ac:dyDescent="0.3">
      <c r="A23">
        <v>21</v>
      </c>
      <c r="B23" t="s">
        <v>232</v>
      </c>
      <c r="C23">
        <v>119813.81842377</v>
      </c>
      <c r="D23">
        <v>0</v>
      </c>
      <c r="E23">
        <v>566.10909782199997</v>
      </c>
    </row>
    <row r="24" spans="1:5" x14ac:dyDescent="0.3">
      <c r="A24">
        <v>22</v>
      </c>
      <c r="B24" t="s">
        <v>336</v>
      </c>
      <c r="C24">
        <v>119857.86431827499</v>
      </c>
      <c r="D24">
        <v>0</v>
      </c>
      <c r="E24">
        <v>3309.6440530458299</v>
      </c>
    </row>
    <row r="25" spans="1:5" x14ac:dyDescent="0.3">
      <c r="A25">
        <v>23</v>
      </c>
      <c r="B25" t="s">
        <v>256</v>
      </c>
      <c r="C25">
        <v>119886.766356612</v>
      </c>
      <c r="D25">
        <v>0</v>
      </c>
      <c r="E25">
        <v>1420.4833111865701</v>
      </c>
    </row>
    <row r="26" spans="1:5" x14ac:dyDescent="0.3">
      <c r="A26">
        <v>24</v>
      </c>
      <c r="B26" t="s">
        <v>337</v>
      </c>
      <c r="C26">
        <v>119783.19141437999</v>
      </c>
      <c r="D26">
        <v>0</v>
      </c>
      <c r="E26">
        <v>860.13875714695598</v>
      </c>
    </row>
    <row r="27" spans="1:5" x14ac:dyDescent="0.3">
      <c r="A27">
        <v>25</v>
      </c>
      <c r="B27" t="s">
        <v>338</v>
      </c>
      <c r="C27">
        <v>119887.218601831</v>
      </c>
      <c r="D27">
        <v>0</v>
      </c>
      <c r="E27">
        <v>584.91819417152794</v>
      </c>
    </row>
    <row r="28" spans="1:5" x14ac:dyDescent="0.3">
      <c r="A28">
        <v>26</v>
      </c>
      <c r="B28" t="s">
        <v>339</v>
      </c>
      <c r="C28">
        <v>94934.961381200003</v>
      </c>
      <c r="D28">
        <v>0</v>
      </c>
      <c r="E28">
        <v>-140.695517188888</v>
      </c>
    </row>
    <row r="29" spans="1:5" x14ac:dyDescent="0.3">
      <c r="A29">
        <v>27</v>
      </c>
      <c r="B29" t="s">
        <v>271</v>
      </c>
      <c r="C29">
        <v>119786.013589644</v>
      </c>
      <c r="D29">
        <v>0</v>
      </c>
      <c r="E29">
        <v>942.19112331638098</v>
      </c>
    </row>
    <row r="30" spans="1:5" x14ac:dyDescent="0.3">
      <c r="A30">
        <v>28</v>
      </c>
      <c r="B30" t="s">
        <v>340</v>
      </c>
      <c r="C30">
        <v>119672.031321268</v>
      </c>
      <c r="D30">
        <v>0</v>
      </c>
      <c r="E30">
        <v>936.76339625085802</v>
      </c>
    </row>
    <row r="31" spans="1:5" x14ac:dyDescent="0.3">
      <c r="A31">
        <v>29</v>
      </c>
      <c r="B31" t="s">
        <v>341</v>
      </c>
      <c r="C31">
        <v>94929.937795000005</v>
      </c>
      <c r="D31">
        <v>0</v>
      </c>
      <c r="E31">
        <v>-266.845379210526</v>
      </c>
    </row>
    <row r="32" spans="1:5" x14ac:dyDescent="0.3">
      <c r="A32">
        <v>30</v>
      </c>
      <c r="B32" t="s">
        <v>343</v>
      </c>
      <c r="C32">
        <v>94929.743922783004</v>
      </c>
      <c r="D32">
        <v>0</v>
      </c>
      <c r="E32">
        <v>-390.01969824746101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7450B-36CC-4423-9FAC-2A6BB7723405}">
  <dimension ref="A1:M33"/>
  <sheetViews>
    <sheetView workbookViewId="0">
      <selection activeCell="G2" sqref="G2"/>
    </sheetView>
  </sheetViews>
  <sheetFormatPr defaultRowHeight="14.4" x14ac:dyDescent="0.3"/>
  <cols>
    <col min="11" max="11" width="11.77734375" customWidth="1"/>
    <col min="12" max="12" width="15.6640625" customWidth="1"/>
  </cols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G1" s="2" t="s">
        <v>332</v>
      </c>
      <c r="H1" s="2" t="s">
        <v>333</v>
      </c>
      <c r="I1" s="2" t="s">
        <v>334</v>
      </c>
      <c r="J1" s="2" t="s">
        <v>335</v>
      </c>
      <c r="K1" s="3" t="s">
        <v>346</v>
      </c>
      <c r="L1" s="3" t="s">
        <v>347</v>
      </c>
      <c r="M1" t="s">
        <v>348</v>
      </c>
    </row>
    <row r="2" spans="1:13" x14ac:dyDescent="0.3">
      <c r="A2">
        <v>0</v>
      </c>
      <c r="B2" t="s">
        <v>54</v>
      </c>
      <c r="C2">
        <v>94935.859860652505</v>
      </c>
      <c r="D2">
        <v>0</v>
      </c>
      <c r="E2">
        <v>-562.68223770527698</v>
      </c>
      <c r="G2">
        <f>COUNTIF(E2:E2000,"&gt;0")</f>
        <v>21</v>
      </c>
      <c r="H2">
        <f>COUNTIF(E2:E2000,"&lt;0")</f>
        <v>11</v>
      </c>
      <c r="I2">
        <f>SUM(C2:C2000)/32</f>
        <v>108007.19756332781</v>
      </c>
      <c r="J2">
        <f>AVERAGE(E2:E2000)</f>
        <v>1091.3508842900515</v>
      </c>
      <c r="K2">
        <v>32</v>
      </c>
      <c r="L2">
        <v>21</v>
      </c>
      <c r="M2">
        <f>L2/K2 *100</f>
        <v>65.625</v>
      </c>
    </row>
    <row r="3" spans="1:13" x14ac:dyDescent="0.3">
      <c r="A3">
        <v>1</v>
      </c>
      <c r="B3" t="s">
        <v>105</v>
      </c>
      <c r="C3">
        <v>114881.307278999</v>
      </c>
      <c r="D3">
        <v>0</v>
      </c>
      <c r="E3">
        <v>1144.71594453845</v>
      </c>
    </row>
    <row r="4" spans="1:13" x14ac:dyDescent="0.3">
      <c r="A4">
        <v>2</v>
      </c>
      <c r="B4" t="s">
        <v>114</v>
      </c>
      <c r="C4">
        <v>94933.462859075502</v>
      </c>
      <c r="D4">
        <v>0</v>
      </c>
      <c r="E4">
        <v>-1266.63428523112</v>
      </c>
    </row>
    <row r="5" spans="1:13" x14ac:dyDescent="0.3">
      <c r="A5">
        <v>3</v>
      </c>
      <c r="B5" t="s">
        <v>129</v>
      </c>
      <c r="C5">
        <v>94932.216565875002</v>
      </c>
      <c r="D5">
        <v>0</v>
      </c>
      <c r="E5">
        <v>-101.3556686825</v>
      </c>
    </row>
    <row r="6" spans="1:13" x14ac:dyDescent="0.3">
      <c r="A6">
        <v>4</v>
      </c>
      <c r="B6" t="s">
        <v>139</v>
      </c>
      <c r="C6">
        <v>114894.16446789</v>
      </c>
      <c r="D6">
        <v>0</v>
      </c>
      <c r="E6">
        <v>595.76657871559996</v>
      </c>
    </row>
    <row r="7" spans="1:13" x14ac:dyDescent="0.3">
      <c r="A7">
        <v>5</v>
      </c>
      <c r="B7" t="s">
        <v>122</v>
      </c>
      <c r="C7">
        <v>94934.6370474</v>
      </c>
      <c r="D7">
        <v>0</v>
      </c>
      <c r="E7">
        <v>-844.22715876666598</v>
      </c>
    </row>
    <row r="8" spans="1:13" x14ac:dyDescent="0.3">
      <c r="A8">
        <v>6</v>
      </c>
      <c r="B8" t="s">
        <v>144</v>
      </c>
      <c r="C8">
        <v>114795.536084769</v>
      </c>
      <c r="D8">
        <v>0</v>
      </c>
      <c r="E8">
        <v>616.48067019874998</v>
      </c>
    </row>
    <row r="9" spans="1:13" x14ac:dyDescent="0.3">
      <c r="A9">
        <v>7</v>
      </c>
      <c r="B9" t="s">
        <v>38</v>
      </c>
      <c r="C9">
        <v>94922.846538450001</v>
      </c>
      <c r="D9">
        <v>0</v>
      </c>
      <c r="E9">
        <v>-2538.5767307750002</v>
      </c>
    </row>
    <row r="10" spans="1:13" x14ac:dyDescent="0.3">
      <c r="A10">
        <v>8</v>
      </c>
      <c r="B10" t="s">
        <v>155</v>
      </c>
      <c r="C10">
        <v>94942.150875635998</v>
      </c>
      <c r="D10">
        <v>0</v>
      </c>
      <c r="E10">
        <v>-1011.56982487279</v>
      </c>
    </row>
    <row r="11" spans="1:13" x14ac:dyDescent="0.3">
      <c r="A11">
        <v>9</v>
      </c>
      <c r="B11" t="s">
        <v>79</v>
      </c>
      <c r="C11">
        <v>114870.314500437</v>
      </c>
      <c r="D11">
        <v>0</v>
      </c>
      <c r="E11">
        <v>2478.38575007291</v>
      </c>
    </row>
    <row r="12" spans="1:13" x14ac:dyDescent="0.3">
      <c r="A12">
        <v>10</v>
      </c>
      <c r="B12" t="s">
        <v>158</v>
      </c>
      <c r="C12">
        <v>114816.59375335999</v>
      </c>
      <c r="D12">
        <v>0</v>
      </c>
      <c r="E12">
        <v>105.832812524</v>
      </c>
    </row>
    <row r="13" spans="1:13" x14ac:dyDescent="0.3">
      <c r="A13">
        <v>11</v>
      </c>
      <c r="B13" t="s">
        <v>179</v>
      </c>
      <c r="C13">
        <v>114913.309262</v>
      </c>
      <c r="D13">
        <v>0</v>
      </c>
      <c r="E13">
        <v>14913.309262000001</v>
      </c>
    </row>
    <row r="14" spans="1:13" x14ac:dyDescent="0.3">
      <c r="A14">
        <v>12</v>
      </c>
      <c r="B14" t="s">
        <v>192</v>
      </c>
      <c r="C14">
        <v>94948.642452379994</v>
      </c>
      <c r="D14">
        <v>0</v>
      </c>
      <c r="E14">
        <v>-1010.271509524</v>
      </c>
    </row>
    <row r="15" spans="1:13" x14ac:dyDescent="0.3">
      <c r="A15">
        <v>13</v>
      </c>
      <c r="B15" t="s">
        <v>183</v>
      </c>
      <c r="C15">
        <v>114702.76938252</v>
      </c>
      <c r="D15">
        <v>0</v>
      </c>
      <c r="E15">
        <v>282.745565048461</v>
      </c>
    </row>
    <row r="16" spans="1:13" x14ac:dyDescent="0.3">
      <c r="A16">
        <v>14</v>
      </c>
      <c r="B16" t="s">
        <v>204</v>
      </c>
      <c r="C16">
        <v>114903.31923962499</v>
      </c>
      <c r="D16">
        <v>0</v>
      </c>
      <c r="E16">
        <v>451.61573453409102</v>
      </c>
    </row>
    <row r="17" spans="1:5" x14ac:dyDescent="0.3">
      <c r="A17">
        <v>15</v>
      </c>
      <c r="B17" t="s">
        <v>342</v>
      </c>
      <c r="C17">
        <v>94989.536461071999</v>
      </c>
      <c r="D17">
        <v>0</v>
      </c>
      <c r="E17">
        <v>-238.593501853714</v>
      </c>
    </row>
    <row r="18" spans="1:5" x14ac:dyDescent="0.3">
      <c r="A18">
        <v>16</v>
      </c>
      <c r="B18" t="s">
        <v>196</v>
      </c>
      <c r="C18">
        <v>114902.24250247001</v>
      </c>
      <c r="D18">
        <v>0</v>
      </c>
      <c r="E18">
        <v>261.44285092052598</v>
      </c>
    </row>
    <row r="19" spans="1:5" x14ac:dyDescent="0.3">
      <c r="A19">
        <v>17</v>
      </c>
      <c r="B19" t="s">
        <v>208</v>
      </c>
      <c r="C19">
        <v>114843.646803645</v>
      </c>
      <c r="D19">
        <v>0</v>
      </c>
      <c r="E19">
        <v>645.37594798456598</v>
      </c>
    </row>
    <row r="20" spans="1:5" x14ac:dyDescent="0.3">
      <c r="A20">
        <v>18</v>
      </c>
      <c r="B20" t="s">
        <v>225</v>
      </c>
      <c r="C20">
        <v>114843.66716985</v>
      </c>
      <c r="D20">
        <v>0</v>
      </c>
      <c r="E20">
        <v>337.35607204204501</v>
      </c>
    </row>
    <row r="21" spans="1:5" x14ac:dyDescent="0.3">
      <c r="A21">
        <v>19</v>
      </c>
      <c r="B21" t="s">
        <v>223</v>
      </c>
      <c r="C21">
        <v>114870.089168639</v>
      </c>
      <c r="D21">
        <v>0</v>
      </c>
      <c r="E21">
        <v>212.42984526628501</v>
      </c>
    </row>
    <row r="22" spans="1:5" x14ac:dyDescent="0.3">
      <c r="A22">
        <v>20</v>
      </c>
      <c r="B22" t="s">
        <v>228</v>
      </c>
      <c r="C22">
        <v>114903.62401869</v>
      </c>
      <c r="D22">
        <v>0</v>
      </c>
      <c r="E22">
        <v>3725.9060046724999</v>
      </c>
    </row>
    <row r="23" spans="1:5" x14ac:dyDescent="0.3">
      <c r="A23">
        <v>21</v>
      </c>
      <c r="B23" t="s">
        <v>231</v>
      </c>
      <c r="C23">
        <v>114885.36415287</v>
      </c>
      <c r="D23">
        <v>0</v>
      </c>
      <c r="E23">
        <v>7442.6820764350005</v>
      </c>
    </row>
    <row r="24" spans="1:5" x14ac:dyDescent="0.3">
      <c r="A24">
        <v>22</v>
      </c>
      <c r="B24" t="s">
        <v>232</v>
      </c>
      <c r="C24">
        <v>114839.764851375</v>
      </c>
      <c r="D24">
        <v>0</v>
      </c>
      <c r="E24">
        <v>511.71602935775798</v>
      </c>
    </row>
    <row r="25" spans="1:5" x14ac:dyDescent="0.3">
      <c r="A25">
        <v>23</v>
      </c>
      <c r="B25" t="s">
        <v>336</v>
      </c>
      <c r="C25">
        <v>114872.564016367</v>
      </c>
      <c r="D25">
        <v>0</v>
      </c>
      <c r="E25">
        <v>2478.76066939458</v>
      </c>
    </row>
    <row r="26" spans="1:5" x14ac:dyDescent="0.3">
      <c r="A26">
        <v>24</v>
      </c>
      <c r="B26" t="s">
        <v>256</v>
      </c>
      <c r="C26">
        <v>114894.41810421</v>
      </c>
      <c r="D26">
        <v>0</v>
      </c>
      <c r="E26">
        <v>2482.40301736833</v>
      </c>
    </row>
    <row r="27" spans="1:5" x14ac:dyDescent="0.3">
      <c r="A27">
        <v>25</v>
      </c>
      <c r="B27" t="s">
        <v>337</v>
      </c>
      <c r="C27">
        <v>114816.63566166</v>
      </c>
      <c r="D27">
        <v>0</v>
      </c>
      <c r="E27">
        <v>644.20155050695598</v>
      </c>
    </row>
    <row r="28" spans="1:5" x14ac:dyDescent="0.3">
      <c r="A28">
        <v>26</v>
      </c>
      <c r="B28" t="s">
        <v>338</v>
      </c>
      <c r="C28">
        <v>114894.87034942899</v>
      </c>
      <c r="D28">
        <v>0</v>
      </c>
      <c r="E28">
        <v>2482.4783915716598</v>
      </c>
    </row>
    <row r="29" spans="1:5" x14ac:dyDescent="0.3">
      <c r="A29">
        <v>27</v>
      </c>
      <c r="B29" t="s">
        <v>339</v>
      </c>
      <c r="C29">
        <v>94934.961381200003</v>
      </c>
      <c r="D29">
        <v>0</v>
      </c>
      <c r="E29">
        <v>-140.695517188888</v>
      </c>
    </row>
    <row r="30" spans="1:5" x14ac:dyDescent="0.3">
      <c r="A30">
        <v>28</v>
      </c>
      <c r="B30" t="s">
        <v>271</v>
      </c>
      <c r="C30">
        <v>114818.85801135001</v>
      </c>
      <c r="D30">
        <v>0</v>
      </c>
      <c r="E30">
        <v>705.65990530238105</v>
      </c>
    </row>
    <row r="31" spans="1:5" x14ac:dyDescent="0.3">
      <c r="A31">
        <v>29</v>
      </c>
      <c r="B31" t="s">
        <v>340</v>
      </c>
      <c r="C31">
        <v>114733.26748681</v>
      </c>
      <c r="D31">
        <v>0</v>
      </c>
      <c r="E31">
        <v>775.43513088473696</v>
      </c>
    </row>
    <row r="32" spans="1:5" x14ac:dyDescent="0.3">
      <c r="A32">
        <v>30</v>
      </c>
      <c r="B32" t="s">
        <v>341</v>
      </c>
      <c r="C32">
        <v>94929.937795000005</v>
      </c>
      <c r="D32">
        <v>0</v>
      </c>
      <c r="E32">
        <v>-266.845379210526</v>
      </c>
    </row>
    <row r="33" spans="1:5" x14ac:dyDescent="0.3">
      <c r="A33">
        <v>31</v>
      </c>
      <c r="B33" t="s">
        <v>343</v>
      </c>
      <c r="C33">
        <v>94929.743922783004</v>
      </c>
      <c r="D33">
        <v>0</v>
      </c>
      <c r="E33">
        <v>-390.01969824746101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6B068-F44B-4FE3-B4CA-9BB59B133711}">
  <dimension ref="A1:M36"/>
  <sheetViews>
    <sheetView workbookViewId="0">
      <selection activeCell="G1" sqref="G1:M2"/>
    </sheetView>
  </sheetViews>
  <sheetFormatPr defaultRowHeight="14.4" x14ac:dyDescent="0.3"/>
  <cols>
    <col min="2" max="2" width="14.21875" customWidth="1"/>
    <col min="11" max="11" width="11.77734375" customWidth="1"/>
    <col min="12" max="12" width="13.77734375" customWidth="1"/>
  </cols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G1" s="2" t="s">
        <v>332</v>
      </c>
      <c r="H1" s="2" t="s">
        <v>333</v>
      </c>
      <c r="I1" s="2" t="s">
        <v>334</v>
      </c>
      <c r="J1" s="2" t="s">
        <v>335</v>
      </c>
      <c r="K1" s="3" t="s">
        <v>346</v>
      </c>
      <c r="L1" s="3" t="s">
        <v>347</v>
      </c>
      <c r="M1" s="3" t="s">
        <v>348</v>
      </c>
    </row>
    <row r="2" spans="1:13" x14ac:dyDescent="0.3">
      <c r="A2">
        <v>0</v>
      </c>
      <c r="B2" t="s">
        <v>54</v>
      </c>
      <c r="C2">
        <v>94935.859860652505</v>
      </c>
      <c r="D2">
        <v>0</v>
      </c>
      <c r="E2">
        <v>-562.68223770527698</v>
      </c>
      <c r="G2">
        <f>COUNTIF(E2:E2000,"&gt;0")</f>
        <v>23</v>
      </c>
      <c r="H2">
        <f>COUNTIF(E2:E2000,"&lt;0")</f>
        <v>10</v>
      </c>
      <c r="I2">
        <f>SUM(C2:C2000)/35</f>
        <v>105608.79961912126</v>
      </c>
      <c r="J2">
        <f>AVERAGE(E2:E2000)</f>
        <v>974.67909273027283</v>
      </c>
      <c r="K2">
        <v>35</v>
      </c>
      <c r="L2">
        <v>25</v>
      </c>
      <c r="M2">
        <f>L2/K2 * 100</f>
        <v>71.428571428571431</v>
      </c>
    </row>
    <row r="3" spans="1:13" x14ac:dyDescent="0.3">
      <c r="A3">
        <v>1</v>
      </c>
      <c r="B3" t="s">
        <v>105</v>
      </c>
      <c r="C3">
        <v>109893.157805615</v>
      </c>
      <c r="D3">
        <v>0</v>
      </c>
      <c r="E3">
        <v>1978.6315611231901</v>
      </c>
    </row>
    <row r="4" spans="1:13" x14ac:dyDescent="0.3">
      <c r="A4">
        <v>2</v>
      </c>
      <c r="B4" t="s">
        <v>114</v>
      </c>
      <c r="C4">
        <v>94933.462859075502</v>
      </c>
      <c r="D4">
        <v>0</v>
      </c>
      <c r="E4">
        <v>-1266.63428523112</v>
      </c>
    </row>
    <row r="5" spans="1:13" x14ac:dyDescent="0.3">
      <c r="A5">
        <v>3</v>
      </c>
      <c r="B5" t="s">
        <v>129</v>
      </c>
      <c r="C5">
        <v>109890.36681750001</v>
      </c>
      <c r="D5">
        <v>0</v>
      </c>
      <c r="E5">
        <v>659.35778783333296</v>
      </c>
    </row>
    <row r="6" spans="1:13" x14ac:dyDescent="0.3">
      <c r="A6">
        <v>4</v>
      </c>
      <c r="B6" t="s">
        <v>139</v>
      </c>
      <c r="C6">
        <v>109901.816215488</v>
      </c>
      <c r="D6">
        <v>0</v>
      </c>
      <c r="E6">
        <v>761.67817042215495</v>
      </c>
    </row>
    <row r="7" spans="1:13" x14ac:dyDescent="0.3">
      <c r="A7">
        <v>5</v>
      </c>
      <c r="B7" t="s">
        <v>122</v>
      </c>
      <c r="C7">
        <v>94934.6370474</v>
      </c>
      <c r="D7">
        <v>0</v>
      </c>
      <c r="E7">
        <v>-844.22715876666598</v>
      </c>
    </row>
    <row r="8" spans="1:13" x14ac:dyDescent="0.3">
      <c r="A8">
        <v>6</v>
      </c>
      <c r="B8" t="s">
        <v>144</v>
      </c>
      <c r="C8">
        <v>109835.97829708</v>
      </c>
      <c r="D8">
        <v>0</v>
      </c>
      <c r="E8">
        <v>427.65123030782598</v>
      </c>
    </row>
    <row r="9" spans="1:13" x14ac:dyDescent="0.3">
      <c r="A9">
        <v>7</v>
      </c>
      <c r="B9" t="s">
        <v>38</v>
      </c>
      <c r="C9">
        <v>94922.846538450001</v>
      </c>
      <c r="D9">
        <v>0</v>
      </c>
      <c r="E9">
        <v>-2538.5767307750002</v>
      </c>
    </row>
    <row r="10" spans="1:13" x14ac:dyDescent="0.3">
      <c r="A10">
        <v>8</v>
      </c>
      <c r="B10" t="s">
        <v>155</v>
      </c>
      <c r="C10">
        <v>94942.150875635998</v>
      </c>
      <c r="D10">
        <v>0</v>
      </c>
      <c r="E10">
        <v>-1011.56982487279</v>
      </c>
    </row>
    <row r="11" spans="1:13" x14ac:dyDescent="0.3">
      <c r="A11">
        <v>9</v>
      </c>
      <c r="B11" t="s">
        <v>79</v>
      </c>
      <c r="C11">
        <v>109886.01390782</v>
      </c>
      <c r="D11">
        <v>0</v>
      </c>
      <c r="E11">
        <v>1647.6689846366601</v>
      </c>
    </row>
    <row r="12" spans="1:13" x14ac:dyDescent="0.3">
      <c r="A12">
        <v>10</v>
      </c>
      <c r="B12" t="s">
        <v>158</v>
      </c>
      <c r="C12">
        <v>109850.03800063999</v>
      </c>
      <c r="D12">
        <v>0</v>
      </c>
      <c r="E12">
        <v>1641.6730001066601</v>
      </c>
    </row>
    <row r="13" spans="1:13" x14ac:dyDescent="0.3">
      <c r="A13">
        <v>11</v>
      </c>
      <c r="B13" t="s">
        <v>179</v>
      </c>
      <c r="C13">
        <v>109914.762812</v>
      </c>
      <c r="D13">
        <v>0</v>
      </c>
      <c r="E13">
        <v>9914.7628120000008</v>
      </c>
    </row>
    <row r="14" spans="1:13" x14ac:dyDescent="0.3">
      <c r="A14">
        <v>12</v>
      </c>
      <c r="B14" t="s">
        <v>192</v>
      </c>
      <c r="C14">
        <v>94948.642452379994</v>
      </c>
      <c r="D14">
        <v>0</v>
      </c>
      <c r="E14">
        <v>-1010.271509524</v>
      </c>
    </row>
    <row r="15" spans="1:13" x14ac:dyDescent="0.3">
      <c r="A15">
        <v>13</v>
      </c>
      <c r="B15" t="s">
        <v>183</v>
      </c>
      <c r="C15">
        <v>109774.20258282</v>
      </c>
      <c r="D15">
        <v>0</v>
      </c>
      <c r="E15">
        <v>203.62922047541599</v>
      </c>
    </row>
    <row r="16" spans="1:13" x14ac:dyDescent="0.3">
      <c r="A16">
        <v>14</v>
      </c>
      <c r="B16" t="s">
        <v>204</v>
      </c>
      <c r="C16">
        <v>109907.87188842399</v>
      </c>
      <c r="D16">
        <v>0</v>
      </c>
      <c r="E16">
        <v>366.95821808977797</v>
      </c>
    </row>
    <row r="17" spans="1:5" x14ac:dyDescent="0.3">
      <c r="A17">
        <v>15</v>
      </c>
      <c r="B17" t="s">
        <v>342</v>
      </c>
      <c r="C17">
        <v>94989.536461071999</v>
      </c>
      <c r="D17">
        <v>0</v>
      </c>
      <c r="E17">
        <v>-238.593501853714</v>
      </c>
    </row>
    <row r="18" spans="1:5" x14ac:dyDescent="0.3">
      <c r="A18">
        <v>16</v>
      </c>
      <c r="B18" t="s">
        <v>196</v>
      </c>
      <c r="C18">
        <v>109907.095064056</v>
      </c>
      <c r="D18">
        <v>0</v>
      </c>
      <c r="E18">
        <v>183.464723408444</v>
      </c>
    </row>
    <row r="19" spans="1:5" x14ac:dyDescent="0.3">
      <c r="A19">
        <v>17</v>
      </c>
      <c r="B19" t="s">
        <v>208</v>
      </c>
      <c r="C19">
        <v>109868.193638244</v>
      </c>
      <c r="D19">
        <v>0</v>
      </c>
      <c r="E19">
        <v>1096.46595980489</v>
      </c>
    </row>
    <row r="20" spans="1:5" x14ac:dyDescent="0.3">
      <c r="A20">
        <v>18</v>
      </c>
      <c r="B20" t="s">
        <v>225</v>
      </c>
      <c r="C20">
        <v>109868.114033519</v>
      </c>
      <c r="D20">
        <v>0</v>
      </c>
      <c r="E20">
        <v>469.91019207238003</v>
      </c>
    </row>
    <row r="21" spans="1:5" x14ac:dyDescent="0.3">
      <c r="A21">
        <v>19</v>
      </c>
      <c r="B21" t="s">
        <v>223</v>
      </c>
      <c r="C21">
        <v>109885.93853241501</v>
      </c>
      <c r="D21">
        <v>0</v>
      </c>
      <c r="E21">
        <v>366.14587157096202</v>
      </c>
    </row>
    <row r="22" spans="1:5" x14ac:dyDescent="0.3">
      <c r="A22">
        <v>20</v>
      </c>
      <c r="B22" t="s">
        <v>228</v>
      </c>
      <c r="C22">
        <v>109908.47658027599</v>
      </c>
      <c r="D22">
        <v>0</v>
      </c>
      <c r="E22">
        <v>0</v>
      </c>
    </row>
    <row r="23" spans="1:5" x14ac:dyDescent="0.3">
      <c r="A23">
        <v>21</v>
      </c>
      <c r="B23" t="s">
        <v>231</v>
      </c>
      <c r="C23">
        <v>109895.81508648</v>
      </c>
      <c r="D23">
        <v>0</v>
      </c>
      <c r="E23">
        <v>9895.8150864800009</v>
      </c>
    </row>
    <row r="24" spans="1:5" x14ac:dyDescent="0.3">
      <c r="A24">
        <v>22</v>
      </c>
      <c r="B24" t="s">
        <v>232</v>
      </c>
      <c r="C24">
        <v>109865.71127898</v>
      </c>
      <c r="D24">
        <v>0</v>
      </c>
      <c r="E24">
        <v>657.71408526533298</v>
      </c>
    </row>
    <row r="25" spans="1:5" x14ac:dyDescent="0.3">
      <c r="A25">
        <v>23</v>
      </c>
      <c r="B25" t="s">
        <v>336</v>
      </c>
      <c r="C25">
        <v>109887.26371446</v>
      </c>
      <c r="D25">
        <v>0</v>
      </c>
      <c r="E25">
        <v>3295.7545714866601</v>
      </c>
    </row>
    <row r="26" spans="1:5" x14ac:dyDescent="0.3">
      <c r="A26">
        <v>24</v>
      </c>
      <c r="B26" t="s">
        <v>78</v>
      </c>
      <c r="C26">
        <v>109861.700415959</v>
      </c>
      <c r="D26">
        <v>0</v>
      </c>
      <c r="E26">
        <v>3287.2334719866599</v>
      </c>
    </row>
    <row r="27" spans="1:5" x14ac:dyDescent="0.3">
      <c r="A27">
        <v>25</v>
      </c>
      <c r="B27" t="s">
        <v>256</v>
      </c>
      <c r="C27">
        <v>109902.069851808</v>
      </c>
      <c r="D27">
        <v>0</v>
      </c>
      <c r="E27">
        <v>1650.3449753013299</v>
      </c>
    </row>
    <row r="28" spans="1:5" x14ac:dyDescent="0.3">
      <c r="A28">
        <v>26</v>
      </c>
      <c r="B28" t="s">
        <v>337</v>
      </c>
      <c r="C28">
        <v>109850.07990894</v>
      </c>
      <c r="D28">
        <v>0</v>
      </c>
      <c r="E28">
        <v>656.67199392933298</v>
      </c>
    </row>
    <row r="29" spans="1:5" x14ac:dyDescent="0.3">
      <c r="A29">
        <v>27</v>
      </c>
      <c r="B29" t="s">
        <v>338</v>
      </c>
      <c r="C29">
        <v>109902.522097027</v>
      </c>
      <c r="D29">
        <v>0</v>
      </c>
      <c r="E29">
        <v>1650.42034950466</v>
      </c>
    </row>
    <row r="30" spans="1:5" x14ac:dyDescent="0.3">
      <c r="A30">
        <v>28</v>
      </c>
      <c r="B30" t="s">
        <v>339</v>
      </c>
      <c r="C30">
        <v>94934.961381200003</v>
      </c>
      <c r="D30">
        <v>0</v>
      </c>
      <c r="E30">
        <v>-140.695517188888</v>
      </c>
    </row>
    <row r="31" spans="1:5" x14ac:dyDescent="0.3">
      <c r="A31">
        <v>29</v>
      </c>
      <c r="B31" t="s">
        <v>271</v>
      </c>
      <c r="C31">
        <v>109851.70243305599</v>
      </c>
      <c r="D31">
        <v>0</v>
      </c>
      <c r="E31">
        <v>518.51065437136799</v>
      </c>
    </row>
    <row r="32" spans="1:5" x14ac:dyDescent="0.3">
      <c r="A32">
        <v>30</v>
      </c>
      <c r="B32" t="s">
        <v>340</v>
      </c>
      <c r="C32">
        <v>109794.503652352</v>
      </c>
      <c r="D32">
        <v>0</v>
      </c>
      <c r="E32">
        <v>753.423357873231</v>
      </c>
    </row>
    <row r="33" spans="1:5" x14ac:dyDescent="0.3">
      <c r="A33">
        <v>31</v>
      </c>
      <c r="B33" t="s">
        <v>341</v>
      </c>
      <c r="C33">
        <v>94929.937795000005</v>
      </c>
      <c r="D33">
        <v>0</v>
      </c>
      <c r="E33">
        <v>-266.845379210526</v>
      </c>
    </row>
    <row r="34" spans="1:5" x14ac:dyDescent="0.3">
      <c r="A34">
        <v>32</v>
      </c>
      <c r="B34" t="s">
        <v>344</v>
      </c>
      <c r="C34">
        <v>109899.927759196</v>
      </c>
      <c r="D34">
        <v>0</v>
      </c>
      <c r="E34">
        <v>299.99781088472702</v>
      </c>
    </row>
    <row r="35" spans="1:5" x14ac:dyDescent="0.3">
      <c r="A35">
        <v>33</v>
      </c>
      <c r="B35" t="s">
        <v>345</v>
      </c>
      <c r="C35">
        <v>109902.88510144</v>
      </c>
      <c r="D35">
        <v>0</v>
      </c>
      <c r="E35">
        <v>0</v>
      </c>
    </row>
    <row r="36" spans="1:5" x14ac:dyDescent="0.3">
      <c r="A36">
        <v>34</v>
      </c>
      <c r="B36" t="s">
        <v>343</v>
      </c>
      <c r="C36">
        <v>94929.743922783004</v>
      </c>
      <c r="D36">
        <v>0</v>
      </c>
      <c r="E36">
        <v>-390.01969824746101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324C8-CF38-4315-9D6A-F39F08812F2D}">
  <dimension ref="A1:M29"/>
  <sheetViews>
    <sheetView workbookViewId="0">
      <selection activeCell="O13" sqref="O13"/>
    </sheetView>
  </sheetViews>
  <sheetFormatPr defaultRowHeight="14.4" x14ac:dyDescent="0.3"/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G1" s="2" t="s">
        <v>332</v>
      </c>
      <c r="H1" s="2" t="s">
        <v>333</v>
      </c>
      <c r="I1" s="2" t="s">
        <v>334</v>
      </c>
      <c r="J1" s="2" t="s">
        <v>335</v>
      </c>
      <c r="K1" s="3" t="s">
        <v>346</v>
      </c>
      <c r="L1" s="3" t="s">
        <v>347</v>
      </c>
      <c r="M1" s="3" t="s">
        <v>348</v>
      </c>
    </row>
    <row r="2" spans="1:13" x14ac:dyDescent="0.3">
      <c r="A2">
        <v>0</v>
      </c>
      <c r="B2" t="s">
        <v>54</v>
      </c>
      <c r="C2">
        <v>94935.859860652505</v>
      </c>
      <c r="D2">
        <v>0</v>
      </c>
      <c r="E2">
        <v>-562.68223770527698</v>
      </c>
      <c r="G2">
        <f>COUNTIF(E2:E2000,"&gt;0")</f>
        <v>16</v>
      </c>
      <c r="H2">
        <f>COUNTIF(E2:E2000,"&lt;0")</f>
        <v>12</v>
      </c>
      <c r="I2">
        <f>SUM(C2:C2000)/28</f>
        <v>112023.41716056722</v>
      </c>
      <c r="J2">
        <f>AVERAGE(E2:E2000)</f>
        <v>664.09299474171837</v>
      </c>
      <c r="K2">
        <v>28</v>
      </c>
      <c r="L2">
        <v>16</v>
      </c>
      <c r="M2">
        <f>L2/K2 * 100</f>
        <v>57.142857142857139</v>
      </c>
    </row>
    <row r="3" spans="1:13" x14ac:dyDescent="0.3">
      <c r="A3">
        <v>1</v>
      </c>
      <c r="B3" t="s">
        <v>105</v>
      </c>
      <c r="C3">
        <v>124857.606225767</v>
      </c>
      <c r="D3">
        <v>0</v>
      </c>
      <c r="E3">
        <v>1775.5433018405599</v>
      </c>
    </row>
    <row r="4" spans="1:13" x14ac:dyDescent="0.3">
      <c r="A4">
        <v>2</v>
      </c>
      <c r="B4" t="s">
        <v>114</v>
      </c>
      <c r="C4">
        <v>94933.462859075502</v>
      </c>
      <c r="D4">
        <v>0</v>
      </c>
      <c r="E4">
        <v>-1266.63428523112</v>
      </c>
    </row>
    <row r="5" spans="1:13" x14ac:dyDescent="0.3">
      <c r="A5">
        <v>3</v>
      </c>
      <c r="B5" t="s">
        <v>129</v>
      </c>
      <c r="C5">
        <v>94932.216565875002</v>
      </c>
      <c r="D5">
        <v>0</v>
      </c>
      <c r="E5">
        <v>-101.3556686825</v>
      </c>
    </row>
    <row r="6" spans="1:13" x14ac:dyDescent="0.3">
      <c r="A6">
        <v>4</v>
      </c>
      <c r="B6" t="s">
        <v>139</v>
      </c>
      <c r="C6">
        <v>124878.860972694</v>
      </c>
      <c r="D6">
        <v>0</v>
      </c>
      <c r="E6">
        <v>592.35383268319094</v>
      </c>
    </row>
    <row r="7" spans="1:13" x14ac:dyDescent="0.3">
      <c r="A7">
        <v>5</v>
      </c>
      <c r="B7" t="s">
        <v>122</v>
      </c>
      <c r="C7">
        <v>94934.6370474</v>
      </c>
      <c r="D7">
        <v>0</v>
      </c>
      <c r="E7">
        <v>-844.22715876666598</v>
      </c>
    </row>
    <row r="8" spans="1:13" x14ac:dyDescent="0.3">
      <c r="A8">
        <v>6</v>
      </c>
      <c r="B8" t="s">
        <v>144</v>
      </c>
      <c r="C8">
        <v>124714.65166015</v>
      </c>
      <c r="D8">
        <v>0</v>
      </c>
      <c r="E8">
        <v>915.35746889444397</v>
      </c>
    </row>
    <row r="9" spans="1:13" x14ac:dyDescent="0.3">
      <c r="A9">
        <v>7</v>
      </c>
      <c r="B9" t="s">
        <v>38</v>
      </c>
      <c r="C9">
        <v>94922.846538450001</v>
      </c>
      <c r="D9">
        <v>0</v>
      </c>
      <c r="E9">
        <v>-2538.5767307750002</v>
      </c>
    </row>
    <row r="10" spans="1:13" x14ac:dyDescent="0.3">
      <c r="A10">
        <v>8</v>
      </c>
      <c r="B10" t="s">
        <v>155</v>
      </c>
      <c r="C10">
        <v>94942.150875635998</v>
      </c>
      <c r="D10">
        <v>0</v>
      </c>
      <c r="E10">
        <v>-1011.56982487279</v>
      </c>
    </row>
    <row r="11" spans="1:13" x14ac:dyDescent="0.3">
      <c r="A11">
        <v>9</v>
      </c>
      <c r="B11" t="s">
        <v>79</v>
      </c>
      <c r="C11">
        <v>94933.1121299675</v>
      </c>
      <c r="D11">
        <v>0</v>
      </c>
      <c r="E11">
        <v>-316.68049187703099</v>
      </c>
    </row>
    <row r="12" spans="1:13" x14ac:dyDescent="0.3">
      <c r="A12">
        <v>10</v>
      </c>
      <c r="B12" t="s">
        <v>158</v>
      </c>
      <c r="C12">
        <v>124749.70525879999</v>
      </c>
      <c r="D12">
        <v>0</v>
      </c>
      <c r="E12">
        <v>160.71237181038899</v>
      </c>
    </row>
    <row r="13" spans="1:13" x14ac:dyDescent="0.3">
      <c r="A13">
        <v>11</v>
      </c>
      <c r="B13" t="s">
        <v>179</v>
      </c>
      <c r="C13">
        <v>124910.402162</v>
      </c>
      <c r="D13">
        <v>0</v>
      </c>
      <c r="E13">
        <v>4982.0804324000001</v>
      </c>
    </row>
    <row r="14" spans="1:13" x14ac:dyDescent="0.3">
      <c r="A14">
        <v>12</v>
      </c>
      <c r="B14" t="s">
        <v>192</v>
      </c>
      <c r="C14">
        <v>94948.642452379994</v>
      </c>
      <c r="D14">
        <v>0</v>
      </c>
      <c r="E14">
        <v>-1010.271509524</v>
      </c>
    </row>
    <row r="15" spans="1:13" x14ac:dyDescent="0.3">
      <c r="A15">
        <v>13</v>
      </c>
      <c r="B15" t="s">
        <v>204</v>
      </c>
      <c r="C15">
        <v>124894.213942027</v>
      </c>
      <c r="D15">
        <v>0</v>
      </c>
      <c r="E15">
        <v>436.740595474158</v>
      </c>
    </row>
    <row r="16" spans="1:13" x14ac:dyDescent="0.3">
      <c r="A16">
        <v>14</v>
      </c>
      <c r="B16" t="s">
        <v>342</v>
      </c>
      <c r="C16">
        <v>94989.536461071999</v>
      </c>
      <c r="D16">
        <v>0</v>
      </c>
      <c r="E16">
        <v>-238.593501853714</v>
      </c>
    </row>
    <row r="17" spans="1:5" x14ac:dyDescent="0.3">
      <c r="A17">
        <v>15</v>
      </c>
      <c r="B17" t="s">
        <v>196</v>
      </c>
      <c r="C17">
        <v>124892.537379298</v>
      </c>
      <c r="D17">
        <v>0</v>
      </c>
      <c r="E17">
        <v>395.119640941238</v>
      </c>
    </row>
    <row r="18" spans="1:5" x14ac:dyDescent="0.3">
      <c r="A18">
        <v>16</v>
      </c>
      <c r="B18" t="s">
        <v>208</v>
      </c>
      <c r="C18">
        <v>124794.55313444699</v>
      </c>
      <c r="D18">
        <v>0</v>
      </c>
      <c r="E18">
        <v>354.20790192067102</v>
      </c>
    </row>
    <row r="19" spans="1:5" x14ac:dyDescent="0.3">
      <c r="A19">
        <v>17</v>
      </c>
      <c r="B19" t="s">
        <v>225</v>
      </c>
      <c r="C19">
        <v>124794.773442509</v>
      </c>
      <c r="D19">
        <v>0</v>
      </c>
      <c r="E19">
        <v>495.89546885019899</v>
      </c>
    </row>
    <row r="20" spans="1:5" x14ac:dyDescent="0.3">
      <c r="A20">
        <v>18</v>
      </c>
      <c r="B20" t="s">
        <v>228</v>
      </c>
      <c r="C20">
        <v>124893.918895518</v>
      </c>
      <c r="D20">
        <v>0</v>
      </c>
      <c r="E20">
        <v>6223.4797238794999</v>
      </c>
    </row>
    <row r="21" spans="1:5" x14ac:dyDescent="0.3">
      <c r="A21">
        <v>19</v>
      </c>
      <c r="B21" t="s">
        <v>231</v>
      </c>
      <c r="C21">
        <v>124864.462285649</v>
      </c>
      <c r="D21">
        <v>0</v>
      </c>
      <c r="E21">
        <v>3108.0577857062499</v>
      </c>
    </row>
    <row r="22" spans="1:5" x14ac:dyDescent="0.3">
      <c r="A22">
        <v>20</v>
      </c>
      <c r="B22" t="s">
        <v>232</v>
      </c>
      <c r="C22">
        <v>124787.87199616501</v>
      </c>
      <c r="D22">
        <v>0</v>
      </c>
      <c r="E22">
        <v>450.688581748454</v>
      </c>
    </row>
    <row r="23" spans="1:5" x14ac:dyDescent="0.3">
      <c r="A23">
        <v>21</v>
      </c>
      <c r="B23" t="s">
        <v>336</v>
      </c>
      <c r="C23">
        <v>124843.164620182</v>
      </c>
      <c r="D23">
        <v>0</v>
      </c>
      <c r="E23">
        <v>4140.5274366970798</v>
      </c>
    </row>
    <row r="24" spans="1:5" x14ac:dyDescent="0.3">
      <c r="A24">
        <v>22</v>
      </c>
      <c r="B24" t="s">
        <v>256</v>
      </c>
      <c r="C24">
        <v>124879.114609014</v>
      </c>
      <c r="D24">
        <v>0</v>
      </c>
      <c r="E24">
        <v>1554.9446630633699</v>
      </c>
    </row>
    <row r="25" spans="1:5" x14ac:dyDescent="0.3">
      <c r="A25">
        <v>23</v>
      </c>
      <c r="B25" t="s">
        <v>338</v>
      </c>
      <c r="C25">
        <v>124879.56685423299</v>
      </c>
      <c r="D25">
        <v>0</v>
      </c>
      <c r="E25">
        <v>518.32430946320699</v>
      </c>
    </row>
    <row r="26" spans="1:5" x14ac:dyDescent="0.3">
      <c r="A26">
        <v>24</v>
      </c>
      <c r="B26" t="s">
        <v>339</v>
      </c>
      <c r="C26">
        <v>94934.961381200003</v>
      </c>
      <c r="D26">
        <v>0</v>
      </c>
      <c r="E26">
        <v>-140.695517188888</v>
      </c>
    </row>
    <row r="27" spans="1:5" x14ac:dyDescent="0.3">
      <c r="A27">
        <v>25</v>
      </c>
      <c r="B27" t="s">
        <v>271</v>
      </c>
      <c r="C27">
        <v>124753.169167938</v>
      </c>
      <c r="D27">
        <v>0</v>
      </c>
      <c r="E27">
        <v>1178.72234133038</v>
      </c>
    </row>
    <row r="28" spans="1:5" x14ac:dyDescent="0.3">
      <c r="A28">
        <v>26</v>
      </c>
      <c r="B28" t="s">
        <v>341</v>
      </c>
      <c r="C28">
        <v>94929.937795000005</v>
      </c>
      <c r="D28">
        <v>0</v>
      </c>
      <c r="E28">
        <v>-266.845379210526</v>
      </c>
    </row>
    <row r="29" spans="1:5" x14ac:dyDescent="0.3">
      <c r="A29">
        <v>27</v>
      </c>
      <c r="B29" t="s">
        <v>343</v>
      </c>
      <c r="C29">
        <v>94929.743922783004</v>
      </c>
      <c r="D29">
        <v>0</v>
      </c>
      <c r="E29">
        <v>-390.01969824746101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43F14-491F-43FA-AE0A-A55CAA5EF285}">
  <dimension ref="A1:M29"/>
  <sheetViews>
    <sheetView workbookViewId="0">
      <selection activeCell="G1" sqref="G1:M2"/>
    </sheetView>
  </sheetViews>
  <sheetFormatPr defaultRowHeight="14.4" x14ac:dyDescent="0.3"/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G1" s="2" t="s">
        <v>332</v>
      </c>
      <c r="H1" s="2" t="s">
        <v>333</v>
      </c>
      <c r="I1" s="2" t="s">
        <v>334</v>
      </c>
      <c r="J1" s="2" t="s">
        <v>335</v>
      </c>
      <c r="K1" s="3" t="s">
        <v>346</v>
      </c>
      <c r="L1" s="3" t="s">
        <v>347</v>
      </c>
      <c r="M1" s="3" t="s">
        <v>348</v>
      </c>
    </row>
    <row r="2" spans="1:13" x14ac:dyDescent="0.3">
      <c r="A2">
        <v>0</v>
      </c>
      <c r="B2" t="s">
        <v>54</v>
      </c>
      <c r="C2">
        <v>94935.859860652505</v>
      </c>
      <c r="D2">
        <v>0</v>
      </c>
      <c r="E2">
        <v>-562.68223770527698</v>
      </c>
      <c r="G2">
        <f>COUNTIF(E2:E2000,"&gt;0")</f>
        <v>16</v>
      </c>
      <c r="H2">
        <f>COUNTIF(E2:E2000,"&lt;0")</f>
        <v>12</v>
      </c>
      <c r="I2">
        <f>SUM(C2:C2000)/28</f>
        <v>112023.41716056722</v>
      </c>
      <c r="J2">
        <f>AVERAGE(E2:E2000)</f>
        <v>664.09299474171837</v>
      </c>
      <c r="K2">
        <v>28</v>
      </c>
      <c r="L2">
        <v>16</v>
      </c>
      <c r="M2">
        <f>L2/K2 * 100</f>
        <v>57.142857142857139</v>
      </c>
    </row>
    <row r="3" spans="1:13" x14ac:dyDescent="0.3">
      <c r="A3">
        <v>1</v>
      </c>
      <c r="B3" t="s">
        <v>105</v>
      </c>
      <c r="C3">
        <v>124857.606225767</v>
      </c>
      <c r="D3">
        <v>0</v>
      </c>
      <c r="E3">
        <v>1775.5433018405599</v>
      </c>
    </row>
    <row r="4" spans="1:13" x14ac:dyDescent="0.3">
      <c r="A4">
        <v>2</v>
      </c>
      <c r="B4" t="s">
        <v>114</v>
      </c>
      <c r="C4">
        <v>94933.462859075502</v>
      </c>
      <c r="D4">
        <v>0</v>
      </c>
      <c r="E4">
        <v>-1266.63428523112</v>
      </c>
    </row>
    <row r="5" spans="1:13" x14ac:dyDescent="0.3">
      <c r="A5">
        <v>3</v>
      </c>
      <c r="B5" t="s">
        <v>129</v>
      </c>
      <c r="C5">
        <v>94932.216565875002</v>
      </c>
      <c r="D5">
        <v>0</v>
      </c>
      <c r="E5">
        <v>-101.3556686825</v>
      </c>
    </row>
    <row r="6" spans="1:13" x14ac:dyDescent="0.3">
      <c r="A6">
        <v>4</v>
      </c>
      <c r="B6" t="s">
        <v>139</v>
      </c>
      <c r="C6">
        <v>124878.860972694</v>
      </c>
      <c r="D6">
        <v>0</v>
      </c>
      <c r="E6">
        <v>592.35383268319094</v>
      </c>
    </row>
    <row r="7" spans="1:13" x14ac:dyDescent="0.3">
      <c r="A7">
        <v>5</v>
      </c>
      <c r="B7" t="s">
        <v>122</v>
      </c>
      <c r="C7">
        <v>94934.6370474</v>
      </c>
      <c r="D7">
        <v>0</v>
      </c>
      <c r="E7">
        <v>-844.22715876666598</v>
      </c>
    </row>
    <row r="8" spans="1:13" x14ac:dyDescent="0.3">
      <c r="A8">
        <v>6</v>
      </c>
      <c r="B8" t="s">
        <v>144</v>
      </c>
      <c r="C8">
        <v>124714.65166015</v>
      </c>
      <c r="D8">
        <v>0</v>
      </c>
      <c r="E8">
        <v>915.35746889444397</v>
      </c>
    </row>
    <row r="9" spans="1:13" x14ac:dyDescent="0.3">
      <c r="A9">
        <v>7</v>
      </c>
      <c r="B9" t="s">
        <v>38</v>
      </c>
      <c r="C9">
        <v>94922.846538450001</v>
      </c>
      <c r="D9">
        <v>0</v>
      </c>
      <c r="E9">
        <v>-2538.5767307750002</v>
      </c>
    </row>
    <row r="10" spans="1:13" x14ac:dyDescent="0.3">
      <c r="A10">
        <v>8</v>
      </c>
      <c r="B10" t="s">
        <v>155</v>
      </c>
      <c r="C10">
        <v>94942.150875635998</v>
      </c>
      <c r="D10">
        <v>0</v>
      </c>
      <c r="E10">
        <v>-1011.56982487279</v>
      </c>
    </row>
    <row r="11" spans="1:13" x14ac:dyDescent="0.3">
      <c r="A11">
        <v>9</v>
      </c>
      <c r="B11" t="s">
        <v>79</v>
      </c>
      <c r="C11">
        <v>94933.1121299675</v>
      </c>
      <c r="D11">
        <v>0</v>
      </c>
      <c r="E11">
        <v>-316.68049187703099</v>
      </c>
    </row>
    <row r="12" spans="1:13" x14ac:dyDescent="0.3">
      <c r="A12">
        <v>10</v>
      </c>
      <c r="B12" t="s">
        <v>158</v>
      </c>
      <c r="C12">
        <v>124749.70525879999</v>
      </c>
      <c r="D12">
        <v>0</v>
      </c>
      <c r="E12">
        <v>160.71237181038899</v>
      </c>
    </row>
    <row r="13" spans="1:13" x14ac:dyDescent="0.3">
      <c r="A13">
        <v>11</v>
      </c>
      <c r="B13" t="s">
        <v>179</v>
      </c>
      <c r="C13">
        <v>124910.402162</v>
      </c>
      <c r="D13">
        <v>0</v>
      </c>
      <c r="E13">
        <v>4982.0804324000001</v>
      </c>
    </row>
    <row r="14" spans="1:13" x14ac:dyDescent="0.3">
      <c r="A14">
        <v>12</v>
      </c>
      <c r="B14" t="s">
        <v>192</v>
      </c>
      <c r="C14">
        <v>94948.642452379994</v>
      </c>
      <c r="D14">
        <v>0</v>
      </c>
      <c r="E14">
        <v>-1010.271509524</v>
      </c>
    </row>
    <row r="15" spans="1:13" x14ac:dyDescent="0.3">
      <c r="A15">
        <v>13</v>
      </c>
      <c r="B15" t="s">
        <v>204</v>
      </c>
      <c r="C15">
        <v>124894.213942027</v>
      </c>
      <c r="D15">
        <v>0</v>
      </c>
      <c r="E15">
        <v>436.740595474158</v>
      </c>
    </row>
    <row r="16" spans="1:13" x14ac:dyDescent="0.3">
      <c r="A16">
        <v>14</v>
      </c>
      <c r="B16" t="s">
        <v>342</v>
      </c>
      <c r="C16">
        <v>94989.536461071999</v>
      </c>
      <c r="D16">
        <v>0</v>
      </c>
      <c r="E16">
        <v>-238.593501853714</v>
      </c>
    </row>
    <row r="17" spans="1:5" x14ac:dyDescent="0.3">
      <c r="A17">
        <v>15</v>
      </c>
      <c r="B17" t="s">
        <v>196</v>
      </c>
      <c r="C17">
        <v>124892.537379298</v>
      </c>
      <c r="D17">
        <v>0</v>
      </c>
      <c r="E17">
        <v>395.119640941238</v>
      </c>
    </row>
    <row r="18" spans="1:5" x14ac:dyDescent="0.3">
      <c r="A18">
        <v>16</v>
      </c>
      <c r="B18" t="s">
        <v>208</v>
      </c>
      <c r="C18">
        <v>124794.55313444699</v>
      </c>
      <c r="D18">
        <v>0</v>
      </c>
      <c r="E18">
        <v>354.20790192067102</v>
      </c>
    </row>
    <row r="19" spans="1:5" x14ac:dyDescent="0.3">
      <c r="A19">
        <v>17</v>
      </c>
      <c r="B19" t="s">
        <v>225</v>
      </c>
      <c r="C19">
        <v>124794.773442509</v>
      </c>
      <c r="D19">
        <v>0</v>
      </c>
      <c r="E19">
        <v>495.89546885019899</v>
      </c>
    </row>
    <row r="20" spans="1:5" x14ac:dyDescent="0.3">
      <c r="A20">
        <v>18</v>
      </c>
      <c r="B20" t="s">
        <v>228</v>
      </c>
      <c r="C20">
        <v>124893.918895518</v>
      </c>
      <c r="D20">
        <v>0</v>
      </c>
      <c r="E20">
        <v>6223.4797238794999</v>
      </c>
    </row>
    <row r="21" spans="1:5" x14ac:dyDescent="0.3">
      <c r="A21">
        <v>19</v>
      </c>
      <c r="B21" t="s">
        <v>231</v>
      </c>
      <c r="C21">
        <v>124864.462285649</v>
      </c>
      <c r="D21">
        <v>0</v>
      </c>
      <c r="E21">
        <v>3108.0577857062499</v>
      </c>
    </row>
    <row r="22" spans="1:5" x14ac:dyDescent="0.3">
      <c r="A22">
        <v>20</v>
      </c>
      <c r="B22" t="s">
        <v>232</v>
      </c>
      <c r="C22">
        <v>124787.87199616501</v>
      </c>
      <c r="D22">
        <v>0</v>
      </c>
      <c r="E22">
        <v>450.688581748454</v>
      </c>
    </row>
    <row r="23" spans="1:5" x14ac:dyDescent="0.3">
      <c r="A23">
        <v>21</v>
      </c>
      <c r="B23" t="s">
        <v>336</v>
      </c>
      <c r="C23">
        <v>124843.164620182</v>
      </c>
      <c r="D23">
        <v>0</v>
      </c>
      <c r="E23">
        <v>4140.5274366970798</v>
      </c>
    </row>
    <row r="24" spans="1:5" x14ac:dyDescent="0.3">
      <c r="A24">
        <v>22</v>
      </c>
      <c r="B24" t="s">
        <v>256</v>
      </c>
      <c r="C24">
        <v>124879.114609014</v>
      </c>
      <c r="D24">
        <v>0</v>
      </c>
      <c r="E24">
        <v>1554.9446630633699</v>
      </c>
    </row>
    <row r="25" spans="1:5" x14ac:dyDescent="0.3">
      <c r="A25">
        <v>23</v>
      </c>
      <c r="B25" t="s">
        <v>338</v>
      </c>
      <c r="C25">
        <v>124879.56685423299</v>
      </c>
      <c r="D25">
        <v>0</v>
      </c>
      <c r="E25">
        <v>518.32430946320699</v>
      </c>
    </row>
    <row r="26" spans="1:5" x14ac:dyDescent="0.3">
      <c r="A26">
        <v>24</v>
      </c>
      <c r="B26" t="s">
        <v>339</v>
      </c>
      <c r="C26">
        <v>94934.961381200003</v>
      </c>
      <c r="D26">
        <v>0</v>
      </c>
      <c r="E26">
        <v>-140.695517188888</v>
      </c>
    </row>
    <row r="27" spans="1:5" x14ac:dyDescent="0.3">
      <c r="A27">
        <v>25</v>
      </c>
      <c r="B27" t="s">
        <v>271</v>
      </c>
      <c r="C27">
        <v>124753.169167938</v>
      </c>
      <c r="D27">
        <v>0</v>
      </c>
      <c r="E27">
        <v>1178.72234133038</v>
      </c>
    </row>
    <row r="28" spans="1:5" x14ac:dyDescent="0.3">
      <c r="A28">
        <v>26</v>
      </c>
      <c r="B28" t="s">
        <v>341</v>
      </c>
      <c r="C28">
        <v>94929.937795000005</v>
      </c>
      <c r="D28">
        <v>0</v>
      </c>
      <c r="E28">
        <v>-266.845379210526</v>
      </c>
    </row>
    <row r="29" spans="1:5" x14ac:dyDescent="0.3">
      <c r="A29">
        <v>27</v>
      </c>
      <c r="B29" t="s">
        <v>343</v>
      </c>
      <c r="C29">
        <v>94929.743922783004</v>
      </c>
      <c r="D29">
        <v>0</v>
      </c>
      <c r="E29">
        <v>-390.01969824746101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E9703-C5C9-4FAC-8D46-4212383724F8}">
  <dimension ref="A1:M29"/>
  <sheetViews>
    <sheetView workbookViewId="0">
      <selection activeCell="L17" sqref="L17"/>
    </sheetView>
  </sheetViews>
  <sheetFormatPr defaultRowHeight="14.4" x14ac:dyDescent="0.3"/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G1" s="2" t="s">
        <v>332</v>
      </c>
      <c r="H1" s="2" t="s">
        <v>333</v>
      </c>
      <c r="I1" s="2" t="s">
        <v>334</v>
      </c>
      <c r="J1" s="2" t="s">
        <v>335</v>
      </c>
      <c r="K1" s="3" t="s">
        <v>346</v>
      </c>
      <c r="L1" s="3" t="s">
        <v>347</v>
      </c>
      <c r="M1" s="3" t="s">
        <v>348</v>
      </c>
    </row>
    <row r="2" spans="1:13" x14ac:dyDescent="0.3">
      <c r="A2">
        <v>0</v>
      </c>
      <c r="B2" t="s">
        <v>54</v>
      </c>
      <c r="C2">
        <v>94935.859860652505</v>
      </c>
      <c r="D2">
        <v>0</v>
      </c>
      <c r="E2">
        <v>-562.68223770527698</v>
      </c>
      <c r="G2">
        <f>COUNTIF(E2:E2000,"&gt;0")</f>
        <v>16</v>
      </c>
      <c r="H2">
        <f>COUNTIF(E2:E2000,"&lt;0")</f>
        <v>12</v>
      </c>
      <c r="I2">
        <f>SUM(C2:C2000)/28</f>
        <v>111851.809371219</v>
      </c>
      <c r="J2">
        <f>AVERAGE(E2:E2000)</f>
        <v>606.89039829231388</v>
      </c>
      <c r="K2">
        <v>28</v>
      </c>
      <c r="L2">
        <v>16</v>
      </c>
      <c r="M2">
        <f>L2/K2 * 100</f>
        <v>57.142857142857139</v>
      </c>
    </row>
    <row r="3" spans="1:13" x14ac:dyDescent="0.3">
      <c r="A3">
        <v>1</v>
      </c>
      <c r="B3" t="s">
        <v>105</v>
      </c>
      <c r="C3">
        <v>124857.606225767</v>
      </c>
      <c r="D3">
        <v>0</v>
      </c>
      <c r="E3">
        <v>1775.5433018405599</v>
      </c>
    </row>
    <row r="4" spans="1:13" x14ac:dyDescent="0.3">
      <c r="A4">
        <v>2</v>
      </c>
      <c r="B4" t="s">
        <v>114</v>
      </c>
      <c r="C4">
        <v>94933.462859075502</v>
      </c>
      <c r="D4">
        <v>0</v>
      </c>
      <c r="E4">
        <v>-1266.63428523112</v>
      </c>
    </row>
    <row r="5" spans="1:13" x14ac:dyDescent="0.3">
      <c r="A5">
        <v>3</v>
      </c>
      <c r="B5" t="s">
        <v>129</v>
      </c>
      <c r="C5">
        <v>94932.216565875002</v>
      </c>
      <c r="D5">
        <v>0</v>
      </c>
      <c r="E5">
        <v>-101.3556686825</v>
      </c>
    </row>
    <row r="6" spans="1:13" x14ac:dyDescent="0.3">
      <c r="A6">
        <v>4</v>
      </c>
      <c r="B6" t="s">
        <v>139</v>
      </c>
      <c r="C6">
        <v>124878.860972694</v>
      </c>
      <c r="D6">
        <v>0</v>
      </c>
      <c r="E6">
        <v>592.35383268319094</v>
      </c>
    </row>
    <row r="7" spans="1:13" x14ac:dyDescent="0.3">
      <c r="A7">
        <v>5</v>
      </c>
      <c r="B7" t="s">
        <v>122</v>
      </c>
      <c r="C7">
        <v>94934.6370474</v>
      </c>
      <c r="D7">
        <v>0</v>
      </c>
      <c r="E7">
        <v>-844.22715876666598</v>
      </c>
    </row>
    <row r="8" spans="1:13" x14ac:dyDescent="0.3">
      <c r="A8">
        <v>6</v>
      </c>
      <c r="B8" t="s">
        <v>144</v>
      </c>
      <c r="C8">
        <v>124714.65166015</v>
      </c>
      <c r="D8">
        <v>0</v>
      </c>
      <c r="E8">
        <v>915.35746889444397</v>
      </c>
    </row>
    <row r="9" spans="1:13" x14ac:dyDescent="0.3">
      <c r="A9">
        <v>7</v>
      </c>
      <c r="B9" t="s">
        <v>38</v>
      </c>
      <c r="C9">
        <v>94922.846538450001</v>
      </c>
      <c r="D9">
        <v>0</v>
      </c>
      <c r="E9">
        <v>-2538.5767307750002</v>
      </c>
    </row>
    <row r="10" spans="1:13" x14ac:dyDescent="0.3">
      <c r="A10">
        <v>8</v>
      </c>
      <c r="B10" t="s">
        <v>155</v>
      </c>
      <c r="C10">
        <v>94942.150875635998</v>
      </c>
      <c r="D10">
        <v>0</v>
      </c>
      <c r="E10">
        <v>-1011.56982487279</v>
      </c>
    </row>
    <row r="11" spans="1:13" x14ac:dyDescent="0.3">
      <c r="A11">
        <v>9</v>
      </c>
      <c r="B11" t="s">
        <v>79</v>
      </c>
      <c r="C11">
        <v>94933.1121299675</v>
      </c>
      <c r="D11">
        <v>0</v>
      </c>
      <c r="E11">
        <v>-316.68049187703099</v>
      </c>
    </row>
    <row r="12" spans="1:13" x14ac:dyDescent="0.3">
      <c r="A12">
        <v>10</v>
      </c>
      <c r="B12" t="s">
        <v>158</v>
      </c>
      <c r="C12">
        <v>124749.70525879999</v>
      </c>
      <c r="D12">
        <v>0</v>
      </c>
      <c r="E12">
        <v>160.71237181038899</v>
      </c>
    </row>
    <row r="13" spans="1:13" x14ac:dyDescent="0.3">
      <c r="A13">
        <v>11</v>
      </c>
      <c r="B13" t="s">
        <v>179</v>
      </c>
      <c r="C13">
        <v>124910.402162</v>
      </c>
      <c r="D13">
        <v>0</v>
      </c>
      <c r="E13">
        <v>4982.0804324000001</v>
      </c>
    </row>
    <row r="14" spans="1:13" x14ac:dyDescent="0.3">
      <c r="A14">
        <v>12</v>
      </c>
      <c r="B14" t="s">
        <v>192</v>
      </c>
      <c r="C14">
        <v>90143.624350629994</v>
      </c>
      <c r="D14">
        <v>0</v>
      </c>
      <c r="E14">
        <v>-2611.94421010733</v>
      </c>
    </row>
    <row r="15" spans="1:13" x14ac:dyDescent="0.3">
      <c r="A15">
        <v>13</v>
      </c>
      <c r="B15" t="s">
        <v>204</v>
      </c>
      <c r="C15">
        <v>124894.213942027</v>
      </c>
      <c r="D15">
        <v>0</v>
      </c>
      <c r="E15">
        <v>436.740595474158</v>
      </c>
    </row>
    <row r="16" spans="1:13" x14ac:dyDescent="0.3">
      <c r="A16">
        <v>14</v>
      </c>
      <c r="B16" t="s">
        <v>342</v>
      </c>
      <c r="C16">
        <v>94989.536461071999</v>
      </c>
      <c r="D16">
        <v>0</v>
      </c>
      <c r="E16">
        <v>-238.593501853714</v>
      </c>
    </row>
    <row r="17" spans="1:5" x14ac:dyDescent="0.3">
      <c r="A17">
        <v>15</v>
      </c>
      <c r="B17" t="s">
        <v>196</v>
      </c>
      <c r="C17">
        <v>124892.537379298</v>
      </c>
      <c r="D17">
        <v>0</v>
      </c>
      <c r="E17">
        <v>395.119640941238</v>
      </c>
    </row>
    <row r="18" spans="1:5" x14ac:dyDescent="0.3">
      <c r="A18">
        <v>16</v>
      </c>
      <c r="B18" t="s">
        <v>208</v>
      </c>
      <c r="C18">
        <v>124794.55313444699</v>
      </c>
      <c r="D18">
        <v>0</v>
      </c>
      <c r="E18">
        <v>354.20790192067102</v>
      </c>
    </row>
    <row r="19" spans="1:5" x14ac:dyDescent="0.3">
      <c r="A19">
        <v>17</v>
      </c>
      <c r="B19" t="s">
        <v>225</v>
      </c>
      <c r="C19">
        <v>124794.773442509</v>
      </c>
      <c r="D19">
        <v>0</v>
      </c>
      <c r="E19">
        <v>495.89546885019899</v>
      </c>
    </row>
    <row r="20" spans="1:5" x14ac:dyDescent="0.3">
      <c r="A20">
        <v>18</v>
      </c>
      <c r="B20" t="s">
        <v>228</v>
      </c>
      <c r="C20">
        <v>124893.918895518</v>
      </c>
      <c r="D20">
        <v>0</v>
      </c>
      <c r="E20">
        <v>6223.4797238794999</v>
      </c>
    </row>
    <row r="21" spans="1:5" x14ac:dyDescent="0.3">
      <c r="A21">
        <v>19</v>
      </c>
      <c r="B21" t="s">
        <v>231</v>
      </c>
      <c r="C21">
        <v>124864.462285649</v>
      </c>
      <c r="D21">
        <v>0</v>
      </c>
      <c r="E21">
        <v>3108.0577857062499</v>
      </c>
    </row>
    <row r="22" spans="1:5" x14ac:dyDescent="0.3">
      <c r="A22">
        <v>20</v>
      </c>
      <c r="B22" t="s">
        <v>232</v>
      </c>
      <c r="C22">
        <v>124787.87199616501</v>
      </c>
      <c r="D22">
        <v>0</v>
      </c>
      <c r="E22">
        <v>450.688581748454</v>
      </c>
    </row>
    <row r="23" spans="1:5" x14ac:dyDescent="0.3">
      <c r="A23">
        <v>21</v>
      </c>
      <c r="B23" t="s">
        <v>336</v>
      </c>
      <c r="C23">
        <v>124843.164620182</v>
      </c>
      <c r="D23">
        <v>0</v>
      </c>
      <c r="E23">
        <v>4140.5274366970798</v>
      </c>
    </row>
    <row r="24" spans="1:5" x14ac:dyDescent="0.3">
      <c r="A24">
        <v>22</v>
      </c>
      <c r="B24" t="s">
        <v>256</v>
      </c>
      <c r="C24">
        <v>124879.114609014</v>
      </c>
      <c r="D24">
        <v>0</v>
      </c>
      <c r="E24">
        <v>1554.9446630633699</v>
      </c>
    </row>
    <row r="25" spans="1:5" x14ac:dyDescent="0.3">
      <c r="A25">
        <v>23</v>
      </c>
      <c r="B25" t="s">
        <v>338</v>
      </c>
      <c r="C25">
        <v>124879.56685423299</v>
      </c>
      <c r="D25">
        <v>0</v>
      </c>
      <c r="E25">
        <v>518.32430946320699</v>
      </c>
    </row>
    <row r="26" spans="1:5" x14ac:dyDescent="0.3">
      <c r="A26">
        <v>24</v>
      </c>
      <c r="B26" t="s">
        <v>339</v>
      </c>
      <c r="C26">
        <v>94934.961381200003</v>
      </c>
      <c r="D26">
        <v>0</v>
      </c>
      <c r="E26">
        <v>-140.695517188888</v>
      </c>
    </row>
    <row r="27" spans="1:5" x14ac:dyDescent="0.3">
      <c r="A27">
        <v>25</v>
      </c>
      <c r="B27" t="s">
        <v>271</v>
      </c>
      <c r="C27">
        <v>124753.169167938</v>
      </c>
      <c r="D27">
        <v>0</v>
      </c>
      <c r="E27">
        <v>1178.72234133038</v>
      </c>
    </row>
    <row r="28" spans="1:5" x14ac:dyDescent="0.3">
      <c r="A28">
        <v>26</v>
      </c>
      <c r="B28" t="s">
        <v>341</v>
      </c>
      <c r="C28">
        <v>94929.937795000005</v>
      </c>
      <c r="D28">
        <v>0</v>
      </c>
      <c r="E28">
        <v>-266.845379210526</v>
      </c>
    </row>
    <row r="29" spans="1:5" x14ac:dyDescent="0.3">
      <c r="A29">
        <v>27</v>
      </c>
      <c r="B29" t="s">
        <v>343</v>
      </c>
      <c r="C29">
        <v>94929.743922783004</v>
      </c>
      <c r="D29">
        <v>0</v>
      </c>
      <c r="E29">
        <v>-390.01969824746101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FDD6E-0213-4552-B01C-D36F35D750D1}">
  <dimension ref="A1:M42"/>
  <sheetViews>
    <sheetView tabSelected="1" workbookViewId="0">
      <selection activeCell="I2" sqref="I2"/>
    </sheetView>
  </sheetViews>
  <sheetFormatPr defaultRowHeight="14.4" x14ac:dyDescent="0.3"/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G1" s="2" t="s">
        <v>332</v>
      </c>
      <c r="H1" s="2" t="s">
        <v>333</v>
      </c>
      <c r="I1" s="2" t="s">
        <v>334</v>
      </c>
      <c r="J1" s="2" t="s">
        <v>335</v>
      </c>
      <c r="K1" s="3" t="s">
        <v>346</v>
      </c>
      <c r="L1" s="3" t="s">
        <v>347</v>
      </c>
      <c r="M1" s="3" t="s">
        <v>348</v>
      </c>
    </row>
    <row r="2" spans="1:13" x14ac:dyDescent="0.3">
      <c r="A2">
        <v>0</v>
      </c>
      <c r="B2" t="s">
        <v>118</v>
      </c>
      <c r="C2">
        <v>108824.118093425</v>
      </c>
      <c r="D2">
        <v>0</v>
      </c>
      <c r="E2">
        <v>-63.251547393430997</v>
      </c>
      <c r="G2">
        <f>COUNTIF(E2:E2000,"&gt;0")</f>
        <v>20</v>
      </c>
      <c r="H2">
        <f>COUNTIF(E2:E2000,"&lt;0")</f>
        <v>21</v>
      </c>
      <c r="I2">
        <f>SUM(C2:C2000)/28</f>
        <v>154165.7026399828</v>
      </c>
      <c r="J2">
        <f>AVERAGE(E2:E2000)</f>
        <v>40.133996843814337</v>
      </c>
      <c r="K2">
        <v>28</v>
      </c>
      <c r="L2">
        <v>16</v>
      </c>
      <c r="M2">
        <f>L2/K2 * 100</f>
        <v>57.142857142857139</v>
      </c>
    </row>
    <row r="3" spans="1:13" x14ac:dyDescent="0.3">
      <c r="A3">
        <v>1</v>
      </c>
      <c r="B3" t="s">
        <v>330</v>
      </c>
      <c r="C3">
        <v>94959.256977989993</v>
      </c>
      <c r="D3">
        <v>0</v>
      </c>
      <c r="E3">
        <v>-720.10614600142799</v>
      </c>
    </row>
    <row r="4" spans="1:13" x14ac:dyDescent="0.3">
      <c r="A4">
        <v>2</v>
      </c>
      <c r="B4" t="s">
        <v>94</v>
      </c>
      <c r="C4">
        <v>94932.766529824003</v>
      </c>
      <c r="D4">
        <v>0</v>
      </c>
      <c r="E4">
        <v>-174.73218862675799</v>
      </c>
    </row>
    <row r="5" spans="1:13" x14ac:dyDescent="0.3">
      <c r="A5">
        <v>3</v>
      </c>
      <c r="B5" t="s">
        <v>112</v>
      </c>
      <c r="C5">
        <v>94950.370742479994</v>
      </c>
      <c r="D5">
        <v>0</v>
      </c>
      <c r="E5">
        <v>-136.476466419459</v>
      </c>
    </row>
    <row r="6" spans="1:13" x14ac:dyDescent="0.3">
      <c r="A6">
        <v>4</v>
      </c>
      <c r="B6" t="s">
        <v>169</v>
      </c>
      <c r="C6">
        <v>94281.251981783993</v>
      </c>
      <c r="D6">
        <v>0</v>
      </c>
      <c r="E6">
        <v>-178.71087556924999</v>
      </c>
    </row>
    <row r="7" spans="1:13" x14ac:dyDescent="0.3">
      <c r="A7">
        <v>5</v>
      </c>
      <c r="B7" t="s">
        <v>24</v>
      </c>
      <c r="C7">
        <v>94933.877074631993</v>
      </c>
      <c r="D7">
        <v>0</v>
      </c>
      <c r="E7">
        <v>-1013.2245850736</v>
      </c>
    </row>
    <row r="8" spans="1:13" x14ac:dyDescent="0.3">
      <c r="A8">
        <v>6</v>
      </c>
      <c r="B8" t="s">
        <v>236</v>
      </c>
      <c r="C8">
        <v>94958.654539114999</v>
      </c>
      <c r="D8">
        <v>0</v>
      </c>
      <c r="E8">
        <v>-720.19220869785704</v>
      </c>
    </row>
    <row r="9" spans="1:13" x14ac:dyDescent="0.3">
      <c r="A9">
        <v>7</v>
      </c>
      <c r="B9" t="s">
        <v>261</v>
      </c>
      <c r="C9">
        <v>94004.455422446903</v>
      </c>
      <c r="D9">
        <v>0</v>
      </c>
      <c r="E9">
        <v>-499.62871479608299</v>
      </c>
    </row>
    <row r="10" spans="1:13" x14ac:dyDescent="0.3">
      <c r="A10">
        <v>8</v>
      </c>
      <c r="B10" t="s">
        <v>154</v>
      </c>
      <c r="C10">
        <v>114789.80749983</v>
      </c>
      <c r="D10">
        <v>0</v>
      </c>
      <c r="E10">
        <v>308.120989579791</v>
      </c>
    </row>
    <row r="11" spans="1:13" x14ac:dyDescent="0.3">
      <c r="A11">
        <v>9</v>
      </c>
      <c r="B11" t="s">
        <v>16</v>
      </c>
      <c r="C11">
        <v>114664.97366603</v>
      </c>
      <c r="D11">
        <v>0</v>
      </c>
      <c r="E11">
        <v>85.7600799183041</v>
      </c>
    </row>
    <row r="12" spans="1:13" x14ac:dyDescent="0.3">
      <c r="A12">
        <v>10</v>
      </c>
      <c r="B12" t="s">
        <v>4</v>
      </c>
      <c r="C12">
        <v>114819.877654802</v>
      </c>
      <c r="D12">
        <v>0</v>
      </c>
      <c r="E12">
        <v>423.425075851499</v>
      </c>
    </row>
    <row r="13" spans="1:13" x14ac:dyDescent="0.3">
      <c r="A13">
        <v>11</v>
      </c>
      <c r="B13" t="s">
        <v>109</v>
      </c>
      <c r="C13">
        <v>114892.033993355</v>
      </c>
      <c r="D13">
        <v>0</v>
      </c>
      <c r="E13">
        <v>111.970180401165</v>
      </c>
    </row>
    <row r="14" spans="1:13" x14ac:dyDescent="0.3">
      <c r="A14">
        <v>12</v>
      </c>
      <c r="B14" t="s">
        <v>18</v>
      </c>
      <c r="C14">
        <v>114907.256906839</v>
      </c>
      <c r="D14">
        <v>0</v>
      </c>
      <c r="E14">
        <v>346.68039318232502</v>
      </c>
    </row>
    <row r="15" spans="1:13" x14ac:dyDescent="0.3">
      <c r="A15">
        <v>13</v>
      </c>
      <c r="B15" t="s">
        <v>140</v>
      </c>
      <c r="C15">
        <v>94932.427879191004</v>
      </c>
      <c r="D15">
        <v>0</v>
      </c>
      <c r="E15">
        <v>-211.14883836704101</v>
      </c>
    </row>
    <row r="16" spans="1:13" x14ac:dyDescent="0.3">
      <c r="A16">
        <v>14</v>
      </c>
      <c r="B16" t="s">
        <v>95</v>
      </c>
      <c r="C16">
        <v>94940.104525021496</v>
      </c>
      <c r="D16">
        <v>0</v>
      </c>
      <c r="E16">
        <v>-361.42110535560698</v>
      </c>
    </row>
    <row r="17" spans="1:5" x14ac:dyDescent="0.3">
      <c r="A17">
        <v>15</v>
      </c>
      <c r="B17" t="s">
        <v>19</v>
      </c>
      <c r="C17">
        <v>94935.598023717001</v>
      </c>
      <c r="D17">
        <v>0</v>
      </c>
      <c r="E17">
        <v>-202.576079051319</v>
      </c>
    </row>
    <row r="18" spans="1:5" x14ac:dyDescent="0.3">
      <c r="A18">
        <v>16</v>
      </c>
      <c r="B18" t="s">
        <v>349</v>
      </c>
      <c r="C18">
        <v>132006.12127991699</v>
      </c>
      <c r="D18">
        <v>0</v>
      </c>
      <c r="E18">
        <v>694.35902047849197</v>
      </c>
    </row>
    <row r="19" spans="1:5" x14ac:dyDescent="0.3">
      <c r="A19">
        <v>17</v>
      </c>
      <c r="B19" t="s">
        <v>201</v>
      </c>
      <c r="C19">
        <v>114071.33783352999</v>
      </c>
      <c r="D19">
        <v>0</v>
      </c>
      <c r="E19">
        <v>112.57070266824</v>
      </c>
    </row>
    <row r="20" spans="1:5" x14ac:dyDescent="0.3">
      <c r="A20">
        <v>18</v>
      </c>
      <c r="B20" t="s">
        <v>141</v>
      </c>
      <c r="C20">
        <v>94930.100638902004</v>
      </c>
      <c r="D20">
        <v>0</v>
      </c>
      <c r="E20">
        <v>-220.43040700425999</v>
      </c>
    </row>
    <row r="21" spans="1:5" x14ac:dyDescent="0.3">
      <c r="A21">
        <v>19</v>
      </c>
      <c r="B21" t="s">
        <v>350</v>
      </c>
      <c r="C21">
        <v>114897.03815265</v>
      </c>
      <c r="D21">
        <v>0</v>
      </c>
      <c r="E21">
        <v>215.89910366159401</v>
      </c>
    </row>
    <row r="22" spans="1:5" x14ac:dyDescent="0.3">
      <c r="A22">
        <v>20</v>
      </c>
      <c r="B22" t="s">
        <v>85</v>
      </c>
      <c r="C22">
        <v>93712.730830590997</v>
      </c>
      <c r="D22">
        <v>0</v>
      </c>
      <c r="E22">
        <v>-71.4462405614658</v>
      </c>
    </row>
    <row r="23" spans="1:5" x14ac:dyDescent="0.3">
      <c r="A23">
        <v>21</v>
      </c>
      <c r="B23" t="s">
        <v>157</v>
      </c>
      <c r="C23">
        <v>94938.170155800006</v>
      </c>
      <c r="D23">
        <v>0</v>
      </c>
      <c r="E23">
        <v>-460.16634947272701</v>
      </c>
    </row>
    <row r="24" spans="1:5" x14ac:dyDescent="0.3">
      <c r="A24">
        <v>22</v>
      </c>
      <c r="B24" t="s">
        <v>351</v>
      </c>
      <c r="C24">
        <v>114877.03547996</v>
      </c>
      <c r="D24">
        <v>0</v>
      </c>
      <c r="E24">
        <v>156.60037347326301</v>
      </c>
    </row>
    <row r="25" spans="1:5" x14ac:dyDescent="0.3">
      <c r="A25">
        <v>23</v>
      </c>
      <c r="B25" t="s">
        <v>67</v>
      </c>
      <c r="C25">
        <v>95018.638865999994</v>
      </c>
      <c r="D25">
        <v>0</v>
      </c>
      <c r="E25">
        <v>-415.11342783333299</v>
      </c>
    </row>
    <row r="26" spans="1:5" x14ac:dyDescent="0.3">
      <c r="A26">
        <v>24</v>
      </c>
      <c r="B26" t="s">
        <v>352</v>
      </c>
      <c r="C26">
        <v>114858.37601065999</v>
      </c>
      <c r="D26">
        <v>0</v>
      </c>
      <c r="E26">
        <v>165.09306678511101</v>
      </c>
    </row>
    <row r="27" spans="1:5" x14ac:dyDescent="0.3">
      <c r="A27">
        <v>25</v>
      </c>
      <c r="B27" t="s">
        <v>353</v>
      </c>
      <c r="C27">
        <v>114306.149877982</v>
      </c>
      <c r="D27">
        <v>0</v>
      </c>
      <c r="E27">
        <v>144.506564424065</v>
      </c>
    </row>
    <row r="28" spans="1:5" x14ac:dyDescent="0.3">
      <c r="A28">
        <v>26</v>
      </c>
      <c r="B28" t="s">
        <v>185</v>
      </c>
      <c r="C28">
        <v>114888.43580032</v>
      </c>
      <c r="D28">
        <v>0</v>
      </c>
      <c r="E28">
        <v>297.76871600639998</v>
      </c>
    </row>
    <row r="29" spans="1:5" x14ac:dyDescent="0.3">
      <c r="A29">
        <v>27</v>
      </c>
      <c r="B29" t="s">
        <v>326</v>
      </c>
      <c r="C29">
        <v>114615.94262880999</v>
      </c>
      <c r="D29">
        <v>0</v>
      </c>
      <c r="E29">
        <v>150.67982091556701</v>
      </c>
    </row>
    <row r="30" spans="1:5" x14ac:dyDescent="0.3">
      <c r="A30">
        <v>28</v>
      </c>
      <c r="B30" t="s">
        <v>191</v>
      </c>
      <c r="C30">
        <v>114906.68274618</v>
      </c>
      <c r="D30">
        <v>0</v>
      </c>
      <c r="E30">
        <v>266.19076332464198</v>
      </c>
    </row>
    <row r="31" spans="1:5" x14ac:dyDescent="0.3">
      <c r="A31">
        <v>29</v>
      </c>
      <c r="B31" t="s">
        <v>6</v>
      </c>
      <c r="C31">
        <v>94920.665898676903</v>
      </c>
      <c r="D31">
        <v>0</v>
      </c>
      <c r="E31">
        <v>-169.31113671076599</v>
      </c>
    </row>
    <row r="32" spans="1:5" x14ac:dyDescent="0.3">
      <c r="A32">
        <v>30</v>
      </c>
      <c r="B32" t="s">
        <v>165</v>
      </c>
      <c r="C32">
        <v>114529.20042054</v>
      </c>
      <c r="D32">
        <v>0</v>
      </c>
      <c r="E32">
        <v>968.61336136933301</v>
      </c>
    </row>
    <row r="33" spans="1:5" x14ac:dyDescent="0.3">
      <c r="A33">
        <v>31</v>
      </c>
      <c r="B33" t="s">
        <v>87</v>
      </c>
      <c r="C33">
        <v>114437.951482567</v>
      </c>
      <c r="D33">
        <v>0</v>
      </c>
      <c r="E33">
        <v>902.37196766046702</v>
      </c>
    </row>
    <row r="34" spans="1:5" x14ac:dyDescent="0.3">
      <c r="A34">
        <v>32</v>
      </c>
      <c r="B34" t="s">
        <v>190</v>
      </c>
      <c r="C34">
        <v>94927.598736202999</v>
      </c>
      <c r="D34">
        <v>0</v>
      </c>
      <c r="E34">
        <v>-1014.4802527593901</v>
      </c>
    </row>
    <row r="35" spans="1:5" x14ac:dyDescent="0.3">
      <c r="A35">
        <v>33</v>
      </c>
      <c r="B35" t="s">
        <v>14</v>
      </c>
      <c r="C35">
        <v>114852.3792126</v>
      </c>
      <c r="D35">
        <v>0</v>
      </c>
      <c r="E35">
        <v>594.09516850399996</v>
      </c>
    </row>
    <row r="36" spans="1:5" x14ac:dyDescent="0.3">
      <c r="A36">
        <v>34</v>
      </c>
      <c r="B36" t="s">
        <v>312</v>
      </c>
      <c r="C36">
        <v>114726.732725907</v>
      </c>
      <c r="D36">
        <v>0</v>
      </c>
      <c r="E36">
        <v>320.14636360668499</v>
      </c>
    </row>
    <row r="37" spans="1:5" x14ac:dyDescent="0.3">
      <c r="A37">
        <v>35</v>
      </c>
      <c r="B37" t="s">
        <v>77</v>
      </c>
      <c r="C37">
        <v>94936.948045080004</v>
      </c>
      <c r="D37">
        <v>0</v>
      </c>
      <c r="E37">
        <v>-230.13872522363599</v>
      </c>
    </row>
    <row r="38" spans="1:5" x14ac:dyDescent="0.3">
      <c r="A38">
        <v>36</v>
      </c>
      <c r="B38" t="s">
        <v>339</v>
      </c>
      <c r="C38">
        <v>94922.532563924004</v>
      </c>
      <c r="D38">
        <v>0</v>
      </c>
      <c r="E38">
        <v>-241.784163622666</v>
      </c>
    </row>
    <row r="39" spans="1:5" x14ac:dyDescent="0.3">
      <c r="A39">
        <v>37</v>
      </c>
      <c r="B39" t="s">
        <v>254</v>
      </c>
      <c r="C39">
        <v>114865.07022597</v>
      </c>
      <c r="D39">
        <v>0</v>
      </c>
      <c r="E39">
        <v>1651.67446955222</v>
      </c>
    </row>
    <row r="40" spans="1:5" x14ac:dyDescent="0.3">
      <c r="A40">
        <v>38</v>
      </c>
      <c r="B40" t="s">
        <v>354</v>
      </c>
      <c r="C40">
        <v>114912.65460583501</v>
      </c>
      <c r="D40">
        <v>0</v>
      </c>
      <c r="E40">
        <v>1656.9616228705499</v>
      </c>
    </row>
    <row r="41" spans="1:5" x14ac:dyDescent="0.3">
      <c r="A41">
        <v>39</v>
      </c>
      <c r="B41" t="s">
        <v>355</v>
      </c>
      <c r="C41">
        <v>94919.793580095997</v>
      </c>
      <c r="D41">
        <v>0</v>
      </c>
      <c r="E41">
        <v>-461.83694726399898</v>
      </c>
    </row>
    <row r="42" spans="1:5" x14ac:dyDescent="0.3">
      <c r="A42">
        <v>40</v>
      </c>
      <c r="B42" t="s">
        <v>177</v>
      </c>
      <c r="C42">
        <v>94934.554610334497</v>
      </c>
      <c r="D42">
        <v>0</v>
      </c>
      <c r="E42">
        <v>-361.81752783324998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v2</vt:lpstr>
      <vt:lpstr>v2_2days_low_sl</vt:lpstr>
      <vt:lpstr>v2_5%_SL_5_RR</vt:lpstr>
      <vt:lpstr>v2_5%_SL_4_RR</vt:lpstr>
      <vt:lpstr>v2_5%_SL_3_RR</vt:lpstr>
      <vt:lpstr>v2_5%_SL_2_RR</vt:lpstr>
      <vt:lpstr>90_days_v2_5%_RR_5</vt:lpstr>
      <vt:lpstr>60_days_v2_5%_RR_5</vt:lpstr>
      <vt:lpstr>Sheet10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Nishant Gupta</cp:lastModifiedBy>
  <dcterms:created xsi:type="dcterms:W3CDTF">2023-07-29T10:22:49Z</dcterms:created>
  <dcterms:modified xsi:type="dcterms:W3CDTF">2023-08-10T12:22:02Z</dcterms:modified>
</cp:coreProperties>
</file>